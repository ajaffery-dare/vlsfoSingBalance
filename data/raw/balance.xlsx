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areglobal-my.sharepoint.com/personal/ajaffery_dare_global/Documents/Singapore Balance/"/>
    </mc:Choice>
  </mc:AlternateContent>
  <xr:revisionPtr revIDLastSave="4" documentId="8_{A636B9C1-4237-42C6-B3FA-CEB9E96955F1}" xr6:coauthVersionLast="47" xr6:coauthVersionMax="47" xr10:uidLastSave="{B8B3DB7B-14D3-4842-8FA2-7F0FDD2A786F}"/>
  <bookViews>
    <workbookView xWindow="-108" yWindow="-108" windowWidth="46296" windowHeight="18696" tabRatio="685" activeTab="8" xr2:uid="{00000000-000D-0000-FFFF-FFFF00000000}"/>
  </bookViews>
  <sheets>
    <sheet name="Sources" sheetId="1" r:id="rId1"/>
    <sheet name="Singapore Strait monthly import" sheetId="2" r:id="rId2"/>
    <sheet name="Singapore Strait exports" sheetId="3" r:id="rId3"/>
    <sheet name="Bunker Sales" sheetId="4" r:id="rId4"/>
    <sheet name="Crude Imports" sheetId="5" r:id="rId5"/>
    <sheet name="Production" sheetId="6" r:id="rId6"/>
    <sheet name="Storage onshore" sheetId="7" r:id="rId7"/>
    <sheet name="Floating Storage" sheetId="8" r:id="rId8"/>
    <sheet name="Balance Forecast" sheetId="9" r:id="rId9"/>
  </sheets>
  <definedNames>
    <definedName name="_xlnm._FilterDatabase" localSheetId="6" hidden="1">'Storage onshore'!$A$2:$B$2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O20" i="9" l="1"/>
  <c r="BP20" i="9"/>
  <c r="BQ20" i="9"/>
  <c r="BR20" i="9"/>
  <c r="C16" i="9"/>
  <c r="D16" i="9"/>
  <c r="E16" i="9"/>
  <c r="F16" i="9"/>
  <c r="F18" i="9" s="1"/>
  <c r="F19" i="9" s="1"/>
  <c r="G16" i="9"/>
  <c r="G17" i="9" s="1"/>
  <c r="H16" i="9"/>
  <c r="I16" i="9"/>
  <c r="J16" i="9"/>
  <c r="J18" i="9" s="1"/>
  <c r="J19" i="9" s="1"/>
  <c r="K16" i="9"/>
  <c r="K17" i="9" s="1"/>
  <c r="L16" i="9"/>
  <c r="M16" i="9"/>
  <c r="M17" i="9" s="1"/>
  <c r="N16" i="9"/>
  <c r="O16" i="9"/>
  <c r="O17" i="9" s="1"/>
  <c r="P16" i="9"/>
  <c r="Q16" i="9"/>
  <c r="R16" i="9"/>
  <c r="S16" i="9"/>
  <c r="T16" i="9"/>
  <c r="T17" i="9" s="1"/>
  <c r="U16" i="9"/>
  <c r="V16" i="9"/>
  <c r="W16" i="9"/>
  <c r="X16" i="9"/>
  <c r="Y16" i="9"/>
  <c r="Z16" i="9"/>
  <c r="Z17" i="9" s="1"/>
  <c r="AA16" i="9"/>
  <c r="AB16" i="9"/>
  <c r="AB17" i="9" s="1"/>
  <c r="AC16" i="9"/>
  <c r="AD16" i="9"/>
  <c r="AD20" i="9" s="1"/>
  <c r="AE16" i="9"/>
  <c r="AE20" i="9" s="1"/>
  <c r="AF16" i="9"/>
  <c r="AF18" i="9" s="1"/>
  <c r="AF19" i="9" s="1"/>
  <c r="AG16" i="9"/>
  <c r="AG17" i="9" s="1"/>
  <c r="AH16" i="9"/>
  <c r="AH17" i="9" s="1"/>
  <c r="C17" i="9"/>
  <c r="D17" i="9"/>
  <c r="E17" i="9"/>
  <c r="F17" i="9"/>
  <c r="H17" i="9"/>
  <c r="I17" i="9"/>
  <c r="J17" i="9"/>
  <c r="L17" i="9"/>
  <c r="N17" i="9"/>
  <c r="P17" i="9"/>
  <c r="Q17" i="9"/>
  <c r="R17" i="9"/>
  <c r="S17" i="9"/>
  <c r="U17" i="9"/>
  <c r="V17" i="9"/>
  <c r="W17" i="9"/>
  <c r="X17" i="9"/>
  <c r="Y17" i="9"/>
  <c r="AA17" i="9"/>
  <c r="AC17" i="9"/>
  <c r="AD17" i="9"/>
  <c r="AE17" i="9"/>
  <c r="C18" i="9"/>
  <c r="C19" i="9" s="1"/>
  <c r="D18" i="9"/>
  <c r="E18" i="9"/>
  <c r="E19" i="9" s="1"/>
  <c r="G18" i="9"/>
  <c r="H18" i="9"/>
  <c r="I18" i="9"/>
  <c r="I19" i="9" s="1"/>
  <c r="K18" i="9"/>
  <c r="K19" i="9" s="1"/>
  <c r="L18" i="9"/>
  <c r="M18" i="9"/>
  <c r="P18" i="9"/>
  <c r="Q18" i="9"/>
  <c r="R18" i="9"/>
  <c r="R19" i="9" s="1"/>
  <c r="S18" i="9"/>
  <c r="V18" i="9"/>
  <c r="W18" i="9"/>
  <c r="X18" i="9"/>
  <c r="X19" i="9" s="1"/>
  <c r="Y18" i="9"/>
  <c r="Z18" i="9"/>
  <c r="Z19" i="9" s="1"/>
  <c r="AA18" i="9"/>
  <c r="AB18" i="9"/>
  <c r="AC18" i="9"/>
  <c r="AD18" i="9"/>
  <c r="AD19" i="9" s="1"/>
  <c r="B19" i="9"/>
  <c r="D19" i="9"/>
  <c r="G19" i="9"/>
  <c r="H19" i="9"/>
  <c r="L19" i="9"/>
  <c r="M19" i="9"/>
  <c r="P19" i="9"/>
  <c r="Q19" i="9"/>
  <c r="S19" i="9"/>
  <c r="V19" i="9"/>
  <c r="W19" i="9"/>
  <c r="Y19" i="9"/>
  <c r="AA19" i="9"/>
  <c r="AB19" i="9"/>
  <c r="AC19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U20" i="9"/>
  <c r="V20" i="9"/>
  <c r="W20" i="9"/>
  <c r="X20" i="9"/>
  <c r="Y20" i="9"/>
  <c r="Z20" i="9"/>
  <c r="AA20" i="9"/>
  <c r="AB20" i="9"/>
  <c r="AC20" i="9"/>
  <c r="AH20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B14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S13" i="4"/>
  <c r="S14" i="4"/>
  <c r="S15" i="4"/>
  <c r="S16" i="4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D109" i="8"/>
  <c r="D110" i="8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D201" i="8" s="1"/>
  <c r="D202" i="8" s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J4" i="9"/>
  <c r="I4" i="9"/>
  <c r="H4" i="9"/>
  <c r="G4" i="9"/>
  <c r="F4" i="9"/>
  <c r="E4" i="9"/>
  <c r="D4" i="9"/>
  <c r="C4" i="9"/>
  <c r="B4" i="9"/>
  <c r="V4" i="9"/>
  <c r="U4" i="9"/>
  <c r="T4" i="9"/>
  <c r="S4" i="9"/>
  <c r="R4" i="9"/>
  <c r="Q4" i="9"/>
  <c r="P4" i="9"/>
  <c r="O4" i="9"/>
  <c r="N4" i="9"/>
  <c r="M4" i="9"/>
  <c r="L4" i="9"/>
  <c r="K4" i="9"/>
  <c r="AE4" i="9"/>
  <c r="AD4" i="9"/>
  <c r="AC4" i="9"/>
  <c r="AB4" i="9"/>
  <c r="AA4" i="9"/>
  <c r="Z4" i="9"/>
  <c r="Y4" i="9"/>
  <c r="X4" i="9"/>
  <c r="W4" i="9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N34" i="9"/>
  <c r="BR11" i="9" s="1"/>
  <c r="M34" i="9"/>
  <c r="BQ11" i="9" s="1"/>
  <c r="L34" i="9"/>
  <c r="BP11" i="9" s="1"/>
  <c r="K34" i="9"/>
  <c r="BO11" i="9" s="1"/>
  <c r="J34" i="9"/>
  <c r="BN11" i="9" s="1"/>
  <c r="I34" i="9"/>
  <c r="BM11" i="9" s="1"/>
  <c r="H34" i="9"/>
  <c r="BL11" i="9" s="1"/>
  <c r="G34" i="9"/>
  <c r="BK11" i="9" s="1"/>
  <c r="F34" i="9"/>
  <c r="E34" i="9"/>
  <c r="D34" i="9"/>
  <c r="C34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BC14" i="9"/>
  <c r="AN14" i="9"/>
  <c r="BJ13" i="9"/>
  <c r="BI13" i="9"/>
  <c r="BH13" i="9"/>
  <c r="BH21" i="9" s="1"/>
  <c r="BJ11" i="9"/>
  <c r="BI11" i="9"/>
  <c r="BI10" i="9"/>
  <c r="BH10" i="9"/>
  <c r="BG10" i="9"/>
  <c r="BF10" i="9"/>
  <c r="BE10" i="9"/>
  <c r="BD10" i="9"/>
  <c r="BD14" i="9" s="1"/>
  <c r="BC10" i="9"/>
  <c r="BB10" i="9"/>
  <c r="BB14" i="9" s="1"/>
  <c r="BA10" i="9"/>
  <c r="BA14" i="9" s="1"/>
  <c r="AZ10" i="9"/>
  <c r="AZ14" i="9" s="1"/>
  <c r="AY10" i="9"/>
  <c r="AY14" i="9" s="1"/>
  <c r="AX10" i="9"/>
  <c r="AX14" i="9" s="1"/>
  <c r="AW10" i="9"/>
  <c r="AW14" i="9" s="1"/>
  <c r="AV10" i="9"/>
  <c r="AV14" i="9" s="1"/>
  <c r="AU10" i="9"/>
  <c r="AU14" i="9" s="1"/>
  <c r="AT10" i="9"/>
  <c r="AT14" i="9" s="1"/>
  <c r="AS10" i="9"/>
  <c r="AS14" i="9" s="1"/>
  <c r="AR10" i="9"/>
  <c r="AR14" i="9" s="1"/>
  <c r="AQ10" i="9"/>
  <c r="AQ14" i="9" s="1"/>
  <c r="AP10" i="9"/>
  <c r="AP14" i="9" s="1"/>
  <c r="AO10" i="9"/>
  <c r="AO14" i="9" s="1"/>
  <c r="AN10" i="9"/>
  <c r="AM10" i="9"/>
  <c r="AM14" i="9" s="1"/>
  <c r="AL10" i="9"/>
  <c r="AL14" i="9" s="1"/>
  <c r="AK10" i="9"/>
  <c r="AK14" i="9" s="1"/>
  <c r="AJ10" i="9"/>
  <c r="AJ14" i="9" s="1"/>
  <c r="AI10" i="9"/>
  <c r="AI14" i="9" s="1"/>
  <c r="AH10" i="9"/>
  <c r="AH14" i="9" s="1"/>
  <c r="AG10" i="9"/>
  <c r="AG14" i="9" s="1"/>
  <c r="AF10" i="9"/>
  <c r="AF14" i="9" s="1"/>
  <c r="AE10" i="9"/>
  <c r="AE14" i="9" s="1"/>
  <c r="AU3" i="9"/>
  <c r="AU4" i="9" s="1"/>
  <c r="G7" i="8"/>
  <c r="G8" i="8" s="1"/>
  <c r="G6" i="8"/>
  <c r="G5" i="8"/>
  <c r="G4" i="8"/>
  <c r="D4" i="8"/>
  <c r="D1297" i="7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D1603" i="7" s="1"/>
  <c r="D1604" i="7" s="1"/>
  <c r="D1605" i="7" s="1"/>
  <c r="D1606" i="7" s="1"/>
  <c r="D1607" i="7" s="1"/>
  <c r="D1608" i="7" s="1"/>
  <c r="D1609" i="7" s="1"/>
  <c r="D1610" i="7" s="1"/>
  <c r="D1611" i="7" s="1"/>
  <c r="D1612" i="7" s="1"/>
  <c r="D1613" i="7" s="1"/>
  <c r="D1614" i="7" s="1"/>
  <c r="D1615" i="7" s="1"/>
  <c r="D1616" i="7" s="1"/>
  <c r="D1617" i="7" s="1"/>
  <c r="D1618" i="7" s="1"/>
  <c r="D1619" i="7" s="1"/>
  <c r="D1620" i="7" s="1"/>
  <c r="D1621" i="7" s="1"/>
  <c r="D1622" i="7" s="1"/>
  <c r="D1623" i="7" s="1"/>
  <c r="D1624" i="7" s="1"/>
  <c r="D1625" i="7" s="1"/>
  <c r="D1626" i="7" s="1"/>
  <c r="D1627" i="7" s="1"/>
  <c r="D1628" i="7" s="1"/>
  <c r="D1629" i="7" s="1"/>
  <c r="D1630" i="7" s="1"/>
  <c r="D1631" i="7" s="1"/>
  <c r="D1632" i="7" s="1"/>
  <c r="D1633" i="7" s="1"/>
  <c r="D1634" i="7" s="1"/>
  <c r="D1635" i="7" s="1"/>
  <c r="D1636" i="7" s="1"/>
  <c r="D1637" i="7" s="1"/>
  <c r="D1638" i="7" s="1"/>
  <c r="D1639" i="7" s="1"/>
  <c r="D1640" i="7" s="1"/>
  <c r="D1641" i="7" s="1"/>
  <c r="D1642" i="7" s="1"/>
  <c r="D1643" i="7" s="1"/>
  <c r="D1644" i="7" s="1"/>
  <c r="D1645" i="7" s="1"/>
  <c r="D1646" i="7" s="1"/>
  <c r="D1647" i="7" s="1"/>
  <c r="D1648" i="7" s="1"/>
  <c r="D1649" i="7" s="1"/>
  <c r="D1650" i="7" s="1"/>
  <c r="D1651" i="7" s="1"/>
  <c r="D1652" i="7" s="1"/>
  <c r="D1653" i="7" s="1"/>
  <c r="D1654" i="7" s="1"/>
  <c r="D1655" i="7" s="1"/>
  <c r="D1656" i="7" s="1"/>
  <c r="D1657" i="7" s="1"/>
  <c r="D1658" i="7" s="1"/>
  <c r="D1659" i="7" s="1"/>
  <c r="D1660" i="7" s="1"/>
  <c r="D1661" i="7" s="1"/>
  <c r="D1662" i="7" s="1"/>
  <c r="D1663" i="7" s="1"/>
  <c r="D1664" i="7" s="1"/>
  <c r="D1665" i="7" s="1"/>
  <c r="D1666" i="7" s="1"/>
  <c r="D1667" i="7" s="1"/>
  <c r="D1668" i="7" s="1"/>
  <c r="D1669" i="7" s="1"/>
  <c r="D1670" i="7" s="1"/>
  <c r="D1671" i="7" s="1"/>
  <c r="D1672" i="7" s="1"/>
  <c r="D1673" i="7" s="1"/>
  <c r="D1674" i="7" s="1"/>
  <c r="D1675" i="7" s="1"/>
  <c r="D1676" i="7" s="1"/>
  <c r="D1677" i="7" s="1"/>
  <c r="D1678" i="7" s="1"/>
  <c r="D1679" i="7" s="1"/>
  <c r="D1680" i="7" s="1"/>
  <c r="D1681" i="7" s="1"/>
  <c r="D1682" i="7" s="1"/>
  <c r="D1683" i="7" s="1"/>
  <c r="D1684" i="7" s="1"/>
  <c r="D1685" i="7" s="1"/>
  <c r="D1686" i="7" s="1"/>
  <c r="D1687" i="7" s="1"/>
  <c r="D1688" i="7" s="1"/>
  <c r="D1689" i="7" s="1"/>
  <c r="D1690" i="7" s="1"/>
  <c r="D1691" i="7" s="1"/>
  <c r="D1692" i="7" s="1"/>
  <c r="D1693" i="7" s="1"/>
  <c r="D1694" i="7" s="1"/>
  <c r="D1695" i="7" s="1"/>
  <c r="D1696" i="7" s="1"/>
  <c r="D1697" i="7" s="1"/>
  <c r="D1698" i="7" s="1"/>
  <c r="D1699" i="7" s="1"/>
  <c r="D1700" i="7" s="1"/>
  <c r="D1701" i="7" s="1"/>
  <c r="D1702" i="7" s="1"/>
  <c r="D1703" i="7" s="1"/>
  <c r="D1704" i="7" s="1"/>
  <c r="D1705" i="7" s="1"/>
  <c r="D1706" i="7" s="1"/>
  <c r="D1707" i="7" s="1"/>
  <c r="D1708" i="7" s="1"/>
  <c r="D1709" i="7" s="1"/>
  <c r="D1710" i="7" s="1"/>
  <c r="D1711" i="7" s="1"/>
  <c r="D1712" i="7" s="1"/>
  <c r="D1713" i="7" s="1"/>
  <c r="D1714" i="7" s="1"/>
  <c r="D1715" i="7" s="1"/>
  <c r="D1716" i="7" s="1"/>
  <c r="D1717" i="7" s="1"/>
  <c r="D1718" i="7" s="1"/>
  <c r="D1719" i="7" s="1"/>
  <c r="D1720" i="7" s="1"/>
  <c r="D1721" i="7" s="1"/>
  <c r="D1722" i="7" s="1"/>
  <c r="D1723" i="7" s="1"/>
  <c r="D1724" i="7" s="1"/>
  <c r="D1725" i="7" s="1"/>
  <c r="D1726" i="7" s="1"/>
  <c r="D1727" i="7" s="1"/>
  <c r="D1728" i="7" s="1"/>
  <c r="D1729" i="7" s="1"/>
  <c r="D1730" i="7" s="1"/>
  <c r="D1731" i="7" s="1"/>
  <c r="D1732" i="7" s="1"/>
  <c r="D1733" i="7" s="1"/>
  <c r="D1734" i="7" s="1"/>
  <c r="D1735" i="7" s="1"/>
  <c r="D1736" i="7" s="1"/>
  <c r="D1737" i="7" s="1"/>
  <c r="D1738" i="7" s="1"/>
  <c r="D1739" i="7" s="1"/>
  <c r="D1740" i="7" s="1"/>
  <c r="D1741" i="7" s="1"/>
  <c r="D1742" i="7" s="1"/>
  <c r="D1743" i="7" s="1"/>
  <c r="D1744" i="7" s="1"/>
  <c r="D1745" i="7" s="1"/>
  <c r="D1746" i="7" s="1"/>
  <c r="D1747" i="7" s="1"/>
  <c r="D1748" i="7" s="1"/>
  <c r="D1749" i="7" s="1"/>
  <c r="D1750" i="7" s="1"/>
  <c r="D1751" i="7" s="1"/>
  <c r="D1752" i="7" s="1"/>
  <c r="D1753" i="7" s="1"/>
  <c r="D1754" i="7" s="1"/>
  <c r="D1755" i="7" s="1"/>
  <c r="D1756" i="7" s="1"/>
  <c r="D1757" i="7" s="1"/>
  <c r="D1758" i="7" s="1"/>
  <c r="D1759" i="7" s="1"/>
  <c r="D1760" i="7" s="1"/>
  <c r="D1761" i="7" s="1"/>
  <c r="D1762" i="7" s="1"/>
  <c r="D1763" i="7" s="1"/>
  <c r="D1764" i="7" s="1"/>
  <c r="D1765" i="7" s="1"/>
  <c r="D1766" i="7" s="1"/>
  <c r="D1767" i="7" s="1"/>
  <c r="D1768" i="7" s="1"/>
  <c r="D1769" i="7" s="1"/>
  <c r="D1770" i="7" s="1"/>
  <c r="D1771" i="7" s="1"/>
  <c r="D1772" i="7" s="1"/>
  <c r="D1773" i="7" s="1"/>
  <c r="D1774" i="7" s="1"/>
  <c r="D1775" i="7" s="1"/>
  <c r="D1776" i="7" s="1"/>
  <c r="D1777" i="7" s="1"/>
  <c r="D1778" i="7" s="1"/>
  <c r="D1779" i="7" s="1"/>
  <c r="D1780" i="7" s="1"/>
  <c r="D1781" i="7" s="1"/>
  <c r="D1782" i="7" s="1"/>
  <c r="D1783" i="7" s="1"/>
  <c r="D1784" i="7" s="1"/>
  <c r="D1785" i="7" s="1"/>
  <c r="D1786" i="7" s="1"/>
  <c r="D1787" i="7" s="1"/>
  <c r="D1788" i="7" s="1"/>
  <c r="D1789" i="7" s="1"/>
  <c r="D1790" i="7" s="1"/>
  <c r="D1791" i="7" s="1"/>
  <c r="D1792" i="7" s="1"/>
  <c r="D1793" i="7" s="1"/>
  <c r="D1794" i="7" s="1"/>
  <c r="D1795" i="7" s="1"/>
  <c r="D1796" i="7" s="1"/>
  <c r="D1797" i="7" s="1"/>
  <c r="D1798" i="7" s="1"/>
  <c r="D1799" i="7" s="1"/>
  <c r="D1800" i="7" s="1"/>
  <c r="D1801" i="7" s="1"/>
  <c r="D1802" i="7" s="1"/>
  <c r="D1803" i="7" s="1"/>
  <c r="D1804" i="7" s="1"/>
  <c r="D1805" i="7" s="1"/>
  <c r="D1806" i="7" s="1"/>
  <c r="D1807" i="7" s="1"/>
  <c r="D1808" i="7" s="1"/>
  <c r="D1809" i="7" s="1"/>
  <c r="D1810" i="7" s="1"/>
  <c r="D1811" i="7" s="1"/>
  <c r="D1812" i="7" s="1"/>
  <c r="D1813" i="7" s="1"/>
  <c r="D1814" i="7" s="1"/>
  <c r="D1815" i="7" s="1"/>
  <c r="D1816" i="7" s="1"/>
  <c r="D1817" i="7" s="1"/>
  <c r="D1296" i="7"/>
  <c r="H1292" i="7"/>
  <c r="E1292" i="7"/>
  <c r="H1291" i="7"/>
  <c r="E1291" i="7"/>
  <c r="H1290" i="7"/>
  <c r="E1290" i="7"/>
  <c r="H1289" i="7"/>
  <c r="E1289" i="7"/>
  <c r="H1288" i="7"/>
  <c r="E1288" i="7"/>
  <c r="H1287" i="7"/>
  <c r="E1287" i="7"/>
  <c r="H1286" i="7"/>
  <c r="E1286" i="7"/>
  <c r="H1285" i="7"/>
  <c r="E1285" i="7"/>
  <c r="H1284" i="7"/>
  <c r="E1284" i="7"/>
  <c r="H1283" i="7"/>
  <c r="E1283" i="7"/>
  <c r="H1282" i="7"/>
  <c r="E1282" i="7"/>
  <c r="H1281" i="7"/>
  <c r="E1281" i="7"/>
  <c r="H1280" i="7"/>
  <c r="E1280" i="7"/>
  <c r="H1279" i="7"/>
  <c r="E1279" i="7"/>
  <c r="H1278" i="7"/>
  <c r="E1278" i="7"/>
  <c r="H1277" i="7"/>
  <c r="E1277" i="7"/>
  <c r="H1276" i="7"/>
  <c r="E1276" i="7"/>
  <c r="H1275" i="7"/>
  <c r="E1275" i="7"/>
  <c r="H1274" i="7"/>
  <c r="E1274" i="7"/>
  <c r="H1273" i="7"/>
  <c r="E1273" i="7"/>
  <c r="H1272" i="7"/>
  <c r="E1272" i="7"/>
  <c r="H1271" i="7"/>
  <c r="E1271" i="7"/>
  <c r="H1270" i="7"/>
  <c r="E1270" i="7"/>
  <c r="H1269" i="7"/>
  <c r="E1269" i="7"/>
  <c r="H1268" i="7"/>
  <c r="E1268" i="7"/>
  <c r="H1267" i="7"/>
  <c r="E1267" i="7"/>
  <c r="H1266" i="7"/>
  <c r="E1266" i="7"/>
  <c r="H1265" i="7"/>
  <c r="E1265" i="7"/>
  <c r="H1264" i="7"/>
  <c r="E1264" i="7"/>
  <c r="H1263" i="7"/>
  <c r="E1263" i="7"/>
  <c r="H1262" i="7"/>
  <c r="E1262" i="7"/>
  <c r="H1261" i="7"/>
  <c r="E1261" i="7"/>
  <c r="H1260" i="7"/>
  <c r="E1260" i="7"/>
  <c r="H1259" i="7"/>
  <c r="E1259" i="7"/>
  <c r="H1258" i="7"/>
  <c r="E1258" i="7"/>
  <c r="H1257" i="7"/>
  <c r="E1257" i="7"/>
  <c r="H1256" i="7"/>
  <c r="E1256" i="7"/>
  <c r="H1255" i="7"/>
  <c r="E1255" i="7"/>
  <c r="H1254" i="7"/>
  <c r="E1254" i="7"/>
  <c r="H1253" i="7"/>
  <c r="E1253" i="7"/>
  <c r="H1252" i="7"/>
  <c r="E1252" i="7"/>
  <c r="H1251" i="7"/>
  <c r="E1251" i="7"/>
  <c r="H1250" i="7"/>
  <c r="E1250" i="7"/>
  <c r="H1249" i="7"/>
  <c r="E1249" i="7"/>
  <c r="H1248" i="7"/>
  <c r="E1248" i="7"/>
  <c r="H1247" i="7"/>
  <c r="E1247" i="7"/>
  <c r="H1246" i="7"/>
  <c r="E1246" i="7"/>
  <c r="H1245" i="7"/>
  <c r="E1245" i="7"/>
  <c r="H1244" i="7"/>
  <c r="E1244" i="7"/>
  <c r="H1243" i="7"/>
  <c r="E1243" i="7"/>
  <c r="H1242" i="7"/>
  <c r="E1242" i="7"/>
  <c r="H1241" i="7"/>
  <c r="E1241" i="7"/>
  <c r="H1240" i="7"/>
  <c r="E1240" i="7"/>
  <c r="H1239" i="7"/>
  <c r="E1239" i="7"/>
  <c r="H1238" i="7"/>
  <c r="E1238" i="7"/>
  <c r="H1237" i="7"/>
  <c r="E1237" i="7"/>
  <c r="H1236" i="7"/>
  <c r="E1236" i="7"/>
  <c r="H1235" i="7"/>
  <c r="E1235" i="7"/>
  <c r="H1234" i="7"/>
  <c r="E1234" i="7"/>
  <c r="H1233" i="7"/>
  <c r="E1233" i="7"/>
  <c r="H1232" i="7"/>
  <c r="E1232" i="7"/>
  <c r="H1231" i="7"/>
  <c r="E1231" i="7"/>
  <c r="H1230" i="7"/>
  <c r="E1230" i="7"/>
  <c r="H1229" i="7"/>
  <c r="E1229" i="7"/>
  <c r="H1228" i="7"/>
  <c r="E1228" i="7"/>
  <c r="H1227" i="7"/>
  <c r="E1227" i="7"/>
  <c r="H1226" i="7"/>
  <c r="E1226" i="7"/>
  <c r="H1225" i="7"/>
  <c r="E1225" i="7"/>
  <c r="H1224" i="7"/>
  <c r="E1224" i="7"/>
  <c r="H1223" i="7"/>
  <c r="E1223" i="7"/>
  <c r="H1222" i="7"/>
  <c r="E1222" i="7"/>
  <c r="H1221" i="7"/>
  <c r="E1221" i="7"/>
  <c r="H1220" i="7"/>
  <c r="E1220" i="7"/>
  <c r="H1219" i="7"/>
  <c r="E1219" i="7"/>
  <c r="H1218" i="7"/>
  <c r="E1218" i="7"/>
  <c r="H1217" i="7"/>
  <c r="E1217" i="7"/>
  <c r="H1216" i="7"/>
  <c r="E1216" i="7"/>
  <c r="H1215" i="7"/>
  <c r="E1215" i="7"/>
  <c r="H1214" i="7"/>
  <c r="E1214" i="7"/>
  <c r="H1213" i="7"/>
  <c r="E1213" i="7"/>
  <c r="H1212" i="7"/>
  <c r="E1212" i="7"/>
  <c r="H1211" i="7"/>
  <c r="E1211" i="7"/>
  <c r="H1210" i="7"/>
  <c r="E1210" i="7"/>
  <c r="H1209" i="7"/>
  <c r="E1209" i="7"/>
  <c r="H1208" i="7"/>
  <c r="E1208" i="7"/>
  <c r="H1207" i="7"/>
  <c r="E1207" i="7"/>
  <c r="H1206" i="7"/>
  <c r="E1206" i="7"/>
  <c r="H1205" i="7"/>
  <c r="E1205" i="7"/>
  <c r="H1204" i="7"/>
  <c r="E1204" i="7"/>
  <c r="H1203" i="7"/>
  <c r="E1203" i="7"/>
  <c r="H1202" i="7"/>
  <c r="E1202" i="7"/>
  <c r="H1201" i="7"/>
  <c r="E1201" i="7"/>
  <c r="H1200" i="7"/>
  <c r="E1200" i="7"/>
  <c r="H1199" i="7"/>
  <c r="E1199" i="7"/>
  <c r="H1198" i="7"/>
  <c r="E1198" i="7"/>
  <c r="H1197" i="7"/>
  <c r="E1197" i="7"/>
  <c r="H1196" i="7"/>
  <c r="E1196" i="7"/>
  <c r="H1195" i="7"/>
  <c r="E1195" i="7"/>
  <c r="H1194" i="7"/>
  <c r="E1194" i="7"/>
  <c r="H1193" i="7"/>
  <c r="E1193" i="7"/>
  <c r="H1192" i="7"/>
  <c r="E1192" i="7"/>
  <c r="H1191" i="7"/>
  <c r="E1191" i="7"/>
  <c r="H1190" i="7"/>
  <c r="E1190" i="7"/>
  <c r="H1189" i="7"/>
  <c r="E1189" i="7"/>
  <c r="H1188" i="7"/>
  <c r="E1188" i="7"/>
  <c r="H1187" i="7"/>
  <c r="E1187" i="7"/>
  <c r="H1186" i="7"/>
  <c r="E1186" i="7"/>
  <c r="H1185" i="7"/>
  <c r="E1185" i="7"/>
  <c r="H1184" i="7"/>
  <c r="E1184" i="7"/>
  <c r="H1183" i="7"/>
  <c r="E1183" i="7"/>
  <c r="H1182" i="7"/>
  <c r="E1182" i="7"/>
  <c r="H1181" i="7"/>
  <c r="E1181" i="7"/>
  <c r="H1180" i="7"/>
  <c r="E1180" i="7"/>
  <c r="H1179" i="7"/>
  <c r="E1179" i="7"/>
  <c r="H1178" i="7"/>
  <c r="E1178" i="7"/>
  <c r="H1177" i="7"/>
  <c r="E1177" i="7"/>
  <c r="H1176" i="7"/>
  <c r="E1176" i="7"/>
  <c r="H1175" i="7"/>
  <c r="E1175" i="7"/>
  <c r="H1174" i="7"/>
  <c r="E1174" i="7"/>
  <c r="H1173" i="7"/>
  <c r="E1173" i="7"/>
  <c r="H1172" i="7"/>
  <c r="E1172" i="7"/>
  <c r="H1171" i="7"/>
  <c r="E1171" i="7"/>
  <c r="H1170" i="7"/>
  <c r="E1170" i="7"/>
  <c r="H1169" i="7"/>
  <c r="E1169" i="7"/>
  <c r="H1168" i="7"/>
  <c r="E1168" i="7"/>
  <c r="H1167" i="7"/>
  <c r="E1167" i="7"/>
  <c r="H1166" i="7"/>
  <c r="E1166" i="7"/>
  <c r="H1165" i="7"/>
  <c r="E1165" i="7"/>
  <c r="H1164" i="7"/>
  <c r="E1164" i="7"/>
  <c r="H1163" i="7"/>
  <c r="E1163" i="7"/>
  <c r="H1162" i="7"/>
  <c r="E1162" i="7"/>
  <c r="H1161" i="7"/>
  <c r="E1161" i="7"/>
  <c r="H1160" i="7"/>
  <c r="E1160" i="7"/>
  <c r="H1159" i="7"/>
  <c r="E1159" i="7"/>
  <c r="H1158" i="7"/>
  <c r="E1158" i="7"/>
  <c r="H1157" i="7"/>
  <c r="E1157" i="7"/>
  <c r="H1156" i="7"/>
  <c r="E1156" i="7"/>
  <c r="H1155" i="7"/>
  <c r="E1155" i="7"/>
  <c r="H1154" i="7"/>
  <c r="E1154" i="7"/>
  <c r="H1153" i="7"/>
  <c r="E1153" i="7"/>
  <c r="H1152" i="7"/>
  <c r="E1152" i="7"/>
  <c r="H1151" i="7"/>
  <c r="E1151" i="7"/>
  <c r="H1150" i="7"/>
  <c r="E1150" i="7"/>
  <c r="H1149" i="7"/>
  <c r="E1149" i="7"/>
  <c r="H1148" i="7"/>
  <c r="E1148" i="7"/>
  <c r="H1147" i="7"/>
  <c r="E1147" i="7"/>
  <c r="H1146" i="7"/>
  <c r="E1146" i="7"/>
  <c r="H1145" i="7"/>
  <c r="E1145" i="7"/>
  <c r="H1144" i="7"/>
  <c r="E1144" i="7"/>
  <c r="H1143" i="7"/>
  <c r="E1143" i="7"/>
  <c r="H1142" i="7"/>
  <c r="E1142" i="7"/>
  <c r="H1141" i="7"/>
  <c r="E1141" i="7"/>
  <c r="H1140" i="7"/>
  <c r="E1140" i="7"/>
  <c r="H1139" i="7"/>
  <c r="E1139" i="7"/>
  <c r="H1138" i="7"/>
  <c r="E1138" i="7"/>
  <c r="H1137" i="7"/>
  <c r="E1137" i="7"/>
  <c r="H1136" i="7"/>
  <c r="E1136" i="7"/>
  <c r="H1135" i="7"/>
  <c r="E1135" i="7"/>
  <c r="H1134" i="7"/>
  <c r="E1134" i="7"/>
  <c r="H1133" i="7"/>
  <c r="E1133" i="7"/>
  <c r="H1132" i="7"/>
  <c r="E1132" i="7"/>
  <c r="H1131" i="7"/>
  <c r="E1131" i="7"/>
  <c r="H1130" i="7"/>
  <c r="E1130" i="7"/>
  <c r="H1129" i="7"/>
  <c r="E1129" i="7"/>
  <c r="H1128" i="7"/>
  <c r="E1128" i="7"/>
  <c r="H1127" i="7"/>
  <c r="E1127" i="7"/>
  <c r="H1126" i="7"/>
  <c r="E1126" i="7"/>
  <c r="H1125" i="7"/>
  <c r="E1125" i="7"/>
  <c r="H1124" i="7"/>
  <c r="E1124" i="7"/>
  <c r="H1123" i="7"/>
  <c r="E1123" i="7"/>
  <c r="H1122" i="7"/>
  <c r="E1122" i="7"/>
  <c r="H1121" i="7"/>
  <c r="E1121" i="7"/>
  <c r="H1120" i="7"/>
  <c r="E1120" i="7"/>
  <c r="H1119" i="7"/>
  <c r="E1119" i="7"/>
  <c r="H1118" i="7"/>
  <c r="E1118" i="7"/>
  <c r="H1117" i="7"/>
  <c r="E1117" i="7"/>
  <c r="H1116" i="7"/>
  <c r="E1116" i="7"/>
  <c r="H1115" i="7"/>
  <c r="E1115" i="7"/>
  <c r="H1114" i="7"/>
  <c r="E1114" i="7"/>
  <c r="H1113" i="7"/>
  <c r="E1113" i="7"/>
  <c r="H1112" i="7"/>
  <c r="E1112" i="7"/>
  <c r="H1111" i="7"/>
  <c r="E1111" i="7"/>
  <c r="H1110" i="7"/>
  <c r="E1110" i="7"/>
  <c r="H1109" i="7"/>
  <c r="E1109" i="7"/>
  <c r="H1108" i="7"/>
  <c r="E1108" i="7"/>
  <c r="H1107" i="7"/>
  <c r="E1107" i="7"/>
  <c r="H1106" i="7"/>
  <c r="E1106" i="7"/>
  <c r="H1105" i="7"/>
  <c r="E1105" i="7"/>
  <c r="H1104" i="7"/>
  <c r="E1104" i="7"/>
  <c r="H1103" i="7"/>
  <c r="E1103" i="7"/>
  <c r="H1102" i="7"/>
  <c r="E1102" i="7"/>
  <c r="H1101" i="7"/>
  <c r="E1101" i="7"/>
  <c r="H1100" i="7"/>
  <c r="E1100" i="7"/>
  <c r="H1099" i="7"/>
  <c r="E1099" i="7"/>
  <c r="H1098" i="7"/>
  <c r="E1098" i="7"/>
  <c r="H1097" i="7"/>
  <c r="E1097" i="7"/>
  <c r="H1096" i="7"/>
  <c r="E1096" i="7"/>
  <c r="H1095" i="7"/>
  <c r="E1095" i="7"/>
  <c r="H1094" i="7"/>
  <c r="E1094" i="7"/>
  <c r="H1093" i="7"/>
  <c r="E1093" i="7"/>
  <c r="H1092" i="7"/>
  <c r="E1092" i="7"/>
  <c r="H1091" i="7"/>
  <c r="E1091" i="7"/>
  <c r="H1090" i="7"/>
  <c r="E1090" i="7"/>
  <c r="H1089" i="7"/>
  <c r="E1089" i="7"/>
  <c r="H1088" i="7"/>
  <c r="E1088" i="7"/>
  <c r="H1087" i="7"/>
  <c r="E1087" i="7"/>
  <c r="H1086" i="7"/>
  <c r="E1086" i="7"/>
  <c r="H1085" i="7"/>
  <c r="E1085" i="7"/>
  <c r="H1084" i="7"/>
  <c r="E1084" i="7"/>
  <c r="H1083" i="7"/>
  <c r="E1083" i="7"/>
  <c r="H1082" i="7"/>
  <c r="E1082" i="7"/>
  <c r="H1081" i="7"/>
  <c r="E1081" i="7"/>
  <c r="H1080" i="7"/>
  <c r="E1080" i="7"/>
  <c r="H1079" i="7"/>
  <c r="E1079" i="7"/>
  <c r="H1078" i="7"/>
  <c r="E1078" i="7"/>
  <c r="H1077" i="7"/>
  <c r="E1077" i="7"/>
  <c r="H1076" i="7"/>
  <c r="E1076" i="7"/>
  <c r="H1075" i="7"/>
  <c r="E1075" i="7"/>
  <c r="H1074" i="7"/>
  <c r="E1074" i="7"/>
  <c r="H1073" i="7"/>
  <c r="E1073" i="7"/>
  <c r="H1072" i="7"/>
  <c r="E1072" i="7"/>
  <c r="H1071" i="7"/>
  <c r="E1071" i="7"/>
  <c r="H1070" i="7"/>
  <c r="E1070" i="7"/>
  <c r="H1069" i="7"/>
  <c r="E1069" i="7"/>
  <c r="H1068" i="7"/>
  <c r="E1068" i="7"/>
  <c r="H1067" i="7"/>
  <c r="E1067" i="7"/>
  <c r="H1066" i="7"/>
  <c r="E1066" i="7"/>
  <c r="H1065" i="7"/>
  <c r="E1065" i="7"/>
  <c r="H1064" i="7"/>
  <c r="E1064" i="7"/>
  <c r="H1063" i="7"/>
  <c r="E1063" i="7"/>
  <c r="H1062" i="7"/>
  <c r="E1062" i="7"/>
  <c r="H1061" i="7"/>
  <c r="E1061" i="7"/>
  <c r="H1060" i="7"/>
  <c r="E1060" i="7"/>
  <c r="H1059" i="7"/>
  <c r="E1059" i="7"/>
  <c r="H1058" i="7"/>
  <c r="E1058" i="7"/>
  <c r="H1057" i="7"/>
  <c r="E1057" i="7"/>
  <c r="H1056" i="7"/>
  <c r="E1056" i="7"/>
  <c r="H1055" i="7"/>
  <c r="E1055" i="7"/>
  <c r="H1054" i="7"/>
  <c r="E1054" i="7"/>
  <c r="H1053" i="7"/>
  <c r="E1053" i="7"/>
  <c r="H1052" i="7"/>
  <c r="E1052" i="7"/>
  <c r="H1051" i="7"/>
  <c r="E1051" i="7"/>
  <c r="H1050" i="7"/>
  <c r="E1050" i="7"/>
  <c r="H1049" i="7"/>
  <c r="E1049" i="7"/>
  <c r="H1048" i="7"/>
  <c r="E1048" i="7"/>
  <c r="H1047" i="7"/>
  <c r="E1047" i="7"/>
  <c r="H1046" i="7"/>
  <c r="E1046" i="7"/>
  <c r="H1045" i="7"/>
  <c r="E1045" i="7"/>
  <c r="H1044" i="7"/>
  <c r="E1044" i="7"/>
  <c r="H1043" i="7"/>
  <c r="E1043" i="7"/>
  <c r="H1042" i="7"/>
  <c r="E1042" i="7"/>
  <c r="H1041" i="7"/>
  <c r="E1041" i="7"/>
  <c r="H1040" i="7"/>
  <c r="E1040" i="7"/>
  <c r="H1039" i="7"/>
  <c r="E1039" i="7"/>
  <c r="H1038" i="7"/>
  <c r="E1038" i="7"/>
  <c r="H1037" i="7"/>
  <c r="E1037" i="7"/>
  <c r="H1036" i="7"/>
  <c r="E1036" i="7"/>
  <c r="H1035" i="7"/>
  <c r="E1035" i="7"/>
  <c r="H1034" i="7"/>
  <c r="E1034" i="7"/>
  <c r="H1033" i="7"/>
  <c r="E1033" i="7"/>
  <c r="H1032" i="7"/>
  <c r="E1032" i="7"/>
  <c r="H1031" i="7"/>
  <c r="E1031" i="7"/>
  <c r="H1030" i="7"/>
  <c r="E1030" i="7"/>
  <c r="H1029" i="7"/>
  <c r="E1029" i="7"/>
  <c r="H1028" i="7"/>
  <c r="E1028" i="7"/>
  <c r="H1027" i="7"/>
  <c r="E1027" i="7"/>
  <c r="H1026" i="7"/>
  <c r="E1026" i="7"/>
  <c r="H1025" i="7"/>
  <c r="E1025" i="7"/>
  <c r="H1024" i="7"/>
  <c r="E1024" i="7"/>
  <c r="H1023" i="7"/>
  <c r="E1023" i="7"/>
  <c r="H1022" i="7"/>
  <c r="E1022" i="7"/>
  <c r="H1021" i="7"/>
  <c r="E1021" i="7"/>
  <c r="H1020" i="7"/>
  <c r="E1020" i="7"/>
  <c r="H1019" i="7"/>
  <c r="E1019" i="7"/>
  <c r="H1018" i="7"/>
  <c r="E1018" i="7"/>
  <c r="H1017" i="7"/>
  <c r="E1017" i="7"/>
  <c r="H1016" i="7"/>
  <c r="E1016" i="7"/>
  <c r="H1015" i="7"/>
  <c r="E1015" i="7"/>
  <c r="H1014" i="7"/>
  <c r="E1014" i="7"/>
  <c r="H1013" i="7"/>
  <c r="E1013" i="7"/>
  <c r="H1012" i="7"/>
  <c r="E1012" i="7"/>
  <c r="H1011" i="7"/>
  <c r="E1011" i="7"/>
  <c r="H1010" i="7"/>
  <c r="E1010" i="7"/>
  <c r="H1009" i="7"/>
  <c r="E1009" i="7"/>
  <c r="H1008" i="7"/>
  <c r="E1008" i="7"/>
  <c r="H1007" i="7"/>
  <c r="E1007" i="7"/>
  <c r="H1006" i="7"/>
  <c r="E1006" i="7"/>
  <c r="H1005" i="7"/>
  <c r="E1005" i="7"/>
  <c r="H1004" i="7"/>
  <c r="E1004" i="7"/>
  <c r="H1003" i="7"/>
  <c r="E1003" i="7"/>
  <c r="H1002" i="7"/>
  <c r="E1002" i="7"/>
  <c r="H1001" i="7"/>
  <c r="E1001" i="7"/>
  <c r="H1000" i="7"/>
  <c r="E1000" i="7"/>
  <c r="H999" i="7"/>
  <c r="E999" i="7"/>
  <c r="H998" i="7"/>
  <c r="E998" i="7"/>
  <c r="H997" i="7"/>
  <c r="E997" i="7"/>
  <c r="H996" i="7"/>
  <c r="E996" i="7"/>
  <c r="H995" i="7"/>
  <c r="E995" i="7"/>
  <c r="H994" i="7"/>
  <c r="E994" i="7"/>
  <c r="H993" i="7"/>
  <c r="E993" i="7"/>
  <c r="H992" i="7"/>
  <c r="E992" i="7"/>
  <c r="H991" i="7"/>
  <c r="E991" i="7"/>
  <c r="H990" i="7"/>
  <c r="E990" i="7"/>
  <c r="H989" i="7"/>
  <c r="E989" i="7"/>
  <c r="H988" i="7"/>
  <c r="E988" i="7"/>
  <c r="H987" i="7"/>
  <c r="E987" i="7"/>
  <c r="H986" i="7"/>
  <c r="E986" i="7"/>
  <c r="H985" i="7"/>
  <c r="E985" i="7"/>
  <c r="H984" i="7"/>
  <c r="E984" i="7"/>
  <c r="H983" i="7"/>
  <c r="E983" i="7"/>
  <c r="H982" i="7"/>
  <c r="E982" i="7"/>
  <c r="H981" i="7"/>
  <c r="E981" i="7"/>
  <c r="H980" i="7"/>
  <c r="E980" i="7"/>
  <c r="H979" i="7"/>
  <c r="E979" i="7"/>
  <c r="H978" i="7"/>
  <c r="E978" i="7"/>
  <c r="H977" i="7"/>
  <c r="E977" i="7"/>
  <c r="H976" i="7"/>
  <c r="E976" i="7"/>
  <c r="H975" i="7"/>
  <c r="E975" i="7"/>
  <c r="H974" i="7"/>
  <c r="E974" i="7"/>
  <c r="H973" i="7"/>
  <c r="E973" i="7"/>
  <c r="H972" i="7"/>
  <c r="E972" i="7"/>
  <c r="H971" i="7"/>
  <c r="E971" i="7"/>
  <c r="H970" i="7"/>
  <c r="E970" i="7"/>
  <c r="H969" i="7"/>
  <c r="E969" i="7"/>
  <c r="H968" i="7"/>
  <c r="E968" i="7"/>
  <c r="H967" i="7"/>
  <c r="E967" i="7"/>
  <c r="H966" i="7"/>
  <c r="E966" i="7"/>
  <c r="H965" i="7"/>
  <c r="E965" i="7"/>
  <c r="H964" i="7"/>
  <c r="E964" i="7"/>
  <c r="H963" i="7"/>
  <c r="E963" i="7"/>
  <c r="H962" i="7"/>
  <c r="E962" i="7"/>
  <c r="H961" i="7"/>
  <c r="E961" i="7"/>
  <c r="H960" i="7"/>
  <c r="E960" i="7"/>
  <c r="H959" i="7"/>
  <c r="E959" i="7"/>
  <c r="H958" i="7"/>
  <c r="E958" i="7"/>
  <c r="H957" i="7"/>
  <c r="E957" i="7"/>
  <c r="H956" i="7"/>
  <c r="E956" i="7"/>
  <c r="H955" i="7"/>
  <c r="E955" i="7"/>
  <c r="H954" i="7"/>
  <c r="E954" i="7"/>
  <c r="H953" i="7"/>
  <c r="E953" i="7"/>
  <c r="H952" i="7"/>
  <c r="E952" i="7"/>
  <c r="H951" i="7"/>
  <c r="E951" i="7"/>
  <c r="H950" i="7"/>
  <c r="E950" i="7"/>
  <c r="H949" i="7"/>
  <c r="E949" i="7"/>
  <c r="H948" i="7"/>
  <c r="E948" i="7"/>
  <c r="H947" i="7"/>
  <c r="E947" i="7"/>
  <c r="H946" i="7"/>
  <c r="E946" i="7"/>
  <c r="H945" i="7"/>
  <c r="E945" i="7"/>
  <c r="H944" i="7"/>
  <c r="E944" i="7"/>
  <c r="H943" i="7"/>
  <c r="E943" i="7"/>
  <c r="H942" i="7"/>
  <c r="E942" i="7"/>
  <c r="H941" i="7"/>
  <c r="E941" i="7"/>
  <c r="H940" i="7"/>
  <c r="E940" i="7"/>
  <c r="H939" i="7"/>
  <c r="E939" i="7"/>
  <c r="H938" i="7"/>
  <c r="E938" i="7"/>
  <c r="H937" i="7"/>
  <c r="E937" i="7"/>
  <c r="H936" i="7"/>
  <c r="E936" i="7"/>
  <c r="H935" i="7"/>
  <c r="E935" i="7"/>
  <c r="H934" i="7"/>
  <c r="E934" i="7"/>
  <c r="H933" i="7"/>
  <c r="E933" i="7"/>
  <c r="H932" i="7"/>
  <c r="E932" i="7"/>
  <c r="H931" i="7"/>
  <c r="E931" i="7"/>
  <c r="H930" i="7"/>
  <c r="E930" i="7"/>
  <c r="H929" i="7"/>
  <c r="E929" i="7"/>
  <c r="H928" i="7"/>
  <c r="E928" i="7"/>
  <c r="H927" i="7"/>
  <c r="E927" i="7"/>
  <c r="H926" i="7"/>
  <c r="E926" i="7"/>
  <c r="H925" i="7"/>
  <c r="E925" i="7"/>
  <c r="H924" i="7"/>
  <c r="E924" i="7"/>
  <c r="H923" i="7"/>
  <c r="E923" i="7"/>
  <c r="H922" i="7"/>
  <c r="E922" i="7"/>
  <c r="H921" i="7"/>
  <c r="E921" i="7"/>
  <c r="H920" i="7"/>
  <c r="E920" i="7"/>
  <c r="H919" i="7"/>
  <c r="E919" i="7"/>
  <c r="H918" i="7"/>
  <c r="E918" i="7"/>
  <c r="H917" i="7"/>
  <c r="E917" i="7"/>
  <c r="H916" i="7"/>
  <c r="E916" i="7"/>
  <c r="H915" i="7"/>
  <c r="E915" i="7"/>
  <c r="H914" i="7"/>
  <c r="E914" i="7"/>
  <c r="H913" i="7"/>
  <c r="E913" i="7"/>
  <c r="H912" i="7"/>
  <c r="E912" i="7"/>
  <c r="H911" i="7"/>
  <c r="E911" i="7"/>
  <c r="H910" i="7"/>
  <c r="E910" i="7"/>
  <c r="H909" i="7"/>
  <c r="E909" i="7"/>
  <c r="H908" i="7"/>
  <c r="E908" i="7"/>
  <c r="H907" i="7"/>
  <c r="E907" i="7"/>
  <c r="H906" i="7"/>
  <c r="E906" i="7"/>
  <c r="H905" i="7"/>
  <c r="E905" i="7"/>
  <c r="H904" i="7"/>
  <c r="E904" i="7"/>
  <c r="H903" i="7"/>
  <c r="E903" i="7"/>
  <c r="H902" i="7"/>
  <c r="E902" i="7"/>
  <c r="H901" i="7"/>
  <c r="E901" i="7"/>
  <c r="H900" i="7"/>
  <c r="E900" i="7"/>
  <c r="H899" i="7"/>
  <c r="E899" i="7"/>
  <c r="H898" i="7"/>
  <c r="E898" i="7"/>
  <c r="H897" i="7"/>
  <c r="E897" i="7"/>
  <c r="H896" i="7"/>
  <c r="E896" i="7"/>
  <c r="H895" i="7"/>
  <c r="E895" i="7"/>
  <c r="H894" i="7"/>
  <c r="E894" i="7"/>
  <c r="H893" i="7"/>
  <c r="E893" i="7"/>
  <c r="H892" i="7"/>
  <c r="E892" i="7"/>
  <c r="H891" i="7"/>
  <c r="E891" i="7"/>
  <c r="H890" i="7"/>
  <c r="E890" i="7"/>
  <c r="H889" i="7"/>
  <c r="E889" i="7"/>
  <c r="H888" i="7"/>
  <c r="E888" i="7"/>
  <c r="H887" i="7"/>
  <c r="E887" i="7"/>
  <c r="H886" i="7"/>
  <c r="E886" i="7"/>
  <c r="H885" i="7"/>
  <c r="E885" i="7"/>
  <c r="H884" i="7"/>
  <c r="E884" i="7"/>
  <c r="H883" i="7"/>
  <c r="E883" i="7"/>
  <c r="H882" i="7"/>
  <c r="E882" i="7"/>
  <c r="H881" i="7"/>
  <c r="E881" i="7"/>
  <c r="H880" i="7"/>
  <c r="E880" i="7"/>
  <c r="H879" i="7"/>
  <c r="E879" i="7"/>
  <c r="H878" i="7"/>
  <c r="E878" i="7"/>
  <c r="H877" i="7"/>
  <c r="E877" i="7"/>
  <c r="H876" i="7"/>
  <c r="E876" i="7"/>
  <c r="H875" i="7"/>
  <c r="E875" i="7"/>
  <c r="H874" i="7"/>
  <c r="E874" i="7"/>
  <c r="H873" i="7"/>
  <c r="E873" i="7"/>
  <c r="H872" i="7"/>
  <c r="E872" i="7"/>
  <c r="H871" i="7"/>
  <c r="E871" i="7"/>
  <c r="H870" i="7"/>
  <c r="E870" i="7"/>
  <c r="H869" i="7"/>
  <c r="E869" i="7"/>
  <c r="H868" i="7"/>
  <c r="E868" i="7"/>
  <c r="H867" i="7"/>
  <c r="E867" i="7"/>
  <c r="H866" i="7"/>
  <c r="E866" i="7"/>
  <c r="H865" i="7"/>
  <c r="E865" i="7"/>
  <c r="H864" i="7"/>
  <c r="E864" i="7"/>
  <c r="H863" i="7"/>
  <c r="E863" i="7"/>
  <c r="H862" i="7"/>
  <c r="E862" i="7"/>
  <c r="H861" i="7"/>
  <c r="E861" i="7"/>
  <c r="H860" i="7"/>
  <c r="E860" i="7"/>
  <c r="H859" i="7"/>
  <c r="E859" i="7"/>
  <c r="H858" i="7"/>
  <c r="E858" i="7"/>
  <c r="H857" i="7"/>
  <c r="E857" i="7"/>
  <c r="H856" i="7"/>
  <c r="E856" i="7"/>
  <c r="H855" i="7"/>
  <c r="E855" i="7"/>
  <c r="H854" i="7"/>
  <c r="E854" i="7"/>
  <c r="H853" i="7"/>
  <c r="E853" i="7"/>
  <c r="H852" i="7"/>
  <c r="E852" i="7"/>
  <c r="H851" i="7"/>
  <c r="E851" i="7"/>
  <c r="H850" i="7"/>
  <c r="E850" i="7"/>
  <c r="H849" i="7"/>
  <c r="E849" i="7"/>
  <c r="H848" i="7"/>
  <c r="E848" i="7"/>
  <c r="H847" i="7"/>
  <c r="E847" i="7"/>
  <c r="H846" i="7"/>
  <c r="E846" i="7"/>
  <c r="H845" i="7"/>
  <c r="E845" i="7"/>
  <c r="H844" i="7"/>
  <c r="E844" i="7"/>
  <c r="H843" i="7"/>
  <c r="E843" i="7"/>
  <c r="H842" i="7"/>
  <c r="E842" i="7"/>
  <c r="H841" i="7"/>
  <c r="E841" i="7"/>
  <c r="H840" i="7"/>
  <c r="E840" i="7"/>
  <c r="H839" i="7"/>
  <c r="E839" i="7"/>
  <c r="H838" i="7"/>
  <c r="E838" i="7"/>
  <c r="H837" i="7"/>
  <c r="E837" i="7"/>
  <c r="H836" i="7"/>
  <c r="E836" i="7"/>
  <c r="H835" i="7"/>
  <c r="E835" i="7"/>
  <c r="H834" i="7"/>
  <c r="E834" i="7"/>
  <c r="H833" i="7"/>
  <c r="E833" i="7"/>
  <c r="H832" i="7"/>
  <c r="E832" i="7"/>
  <c r="H831" i="7"/>
  <c r="E831" i="7"/>
  <c r="H830" i="7"/>
  <c r="E830" i="7"/>
  <c r="H829" i="7"/>
  <c r="E829" i="7"/>
  <c r="H828" i="7"/>
  <c r="E828" i="7"/>
  <c r="H827" i="7"/>
  <c r="E827" i="7"/>
  <c r="H826" i="7"/>
  <c r="E826" i="7"/>
  <c r="H825" i="7"/>
  <c r="E825" i="7"/>
  <c r="H824" i="7"/>
  <c r="E824" i="7"/>
  <c r="H823" i="7"/>
  <c r="E823" i="7"/>
  <c r="H822" i="7"/>
  <c r="E822" i="7"/>
  <c r="H821" i="7"/>
  <c r="E821" i="7"/>
  <c r="H820" i="7"/>
  <c r="E820" i="7"/>
  <c r="H819" i="7"/>
  <c r="E819" i="7"/>
  <c r="H818" i="7"/>
  <c r="E818" i="7"/>
  <c r="H817" i="7"/>
  <c r="E817" i="7"/>
  <c r="H816" i="7"/>
  <c r="E816" i="7"/>
  <c r="H815" i="7"/>
  <c r="E815" i="7"/>
  <c r="H814" i="7"/>
  <c r="E814" i="7"/>
  <c r="H813" i="7"/>
  <c r="E813" i="7"/>
  <c r="H812" i="7"/>
  <c r="E812" i="7"/>
  <c r="H811" i="7"/>
  <c r="E811" i="7"/>
  <c r="H810" i="7"/>
  <c r="E810" i="7"/>
  <c r="H809" i="7"/>
  <c r="E809" i="7"/>
  <c r="H808" i="7"/>
  <c r="E808" i="7"/>
  <c r="H807" i="7"/>
  <c r="E807" i="7"/>
  <c r="H806" i="7"/>
  <c r="E806" i="7"/>
  <c r="H805" i="7"/>
  <c r="E805" i="7"/>
  <c r="H804" i="7"/>
  <c r="E804" i="7"/>
  <c r="H803" i="7"/>
  <c r="E803" i="7"/>
  <c r="H802" i="7"/>
  <c r="E802" i="7"/>
  <c r="H801" i="7"/>
  <c r="E801" i="7"/>
  <c r="H800" i="7"/>
  <c r="E800" i="7"/>
  <c r="H799" i="7"/>
  <c r="E799" i="7"/>
  <c r="H798" i="7"/>
  <c r="E798" i="7"/>
  <c r="H797" i="7"/>
  <c r="E797" i="7"/>
  <c r="H796" i="7"/>
  <c r="E796" i="7"/>
  <c r="H795" i="7"/>
  <c r="E795" i="7"/>
  <c r="H794" i="7"/>
  <c r="E794" i="7"/>
  <c r="H793" i="7"/>
  <c r="E793" i="7"/>
  <c r="H792" i="7"/>
  <c r="E792" i="7"/>
  <c r="H791" i="7"/>
  <c r="E791" i="7"/>
  <c r="H790" i="7"/>
  <c r="E790" i="7"/>
  <c r="H789" i="7"/>
  <c r="E789" i="7"/>
  <c r="H788" i="7"/>
  <c r="E788" i="7"/>
  <c r="H787" i="7"/>
  <c r="E787" i="7"/>
  <c r="H786" i="7"/>
  <c r="E786" i="7"/>
  <c r="H785" i="7"/>
  <c r="E785" i="7"/>
  <c r="H784" i="7"/>
  <c r="E784" i="7"/>
  <c r="H783" i="7"/>
  <c r="E783" i="7"/>
  <c r="H782" i="7"/>
  <c r="E782" i="7"/>
  <c r="H781" i="7"/>
  <c r="E781" i="7"/>
  <c r="H780" i="7"/>
  <c r="E780" i="7"/>
  <c r="H779" i="7"/>
  <c r="E779" i="7"/>
  <c r="H778" i="7"/>
  <c r="E778" i="7"/>
  <c r="H777" i="7"/>
  <c r="E777" i="7"/>
  <c r="H776" i="7"/>
  <c r="E776" i="7"/>
  <c r="H775" i="7"/>
  <c r="E775" i="7"/>
  <c r="H774" i="7"/>
  <c r="E774" i="7"/>
  <c r="H773" i="7"/>
  <c r="E773" i="7"/>
  <c r="H772" i="7"/>
  <c r="E772" i="7"/>
  <c r="H771" i="7"/>
  <c r="E771" i="7"/>
  <c r="H770" i="7"/>
  <c r="E770" i="7"/>
  <c r="H769" i="7"/>
  <c r="E769" i="7"/>
  <c r="H768" i="7"/>
  <c r="E768" i="7"/>
  <c r="H767" i="7"/>
  <c r="E767" i="7"/>
  <c r="H766" i="7"/>
  <c r="E766" i="7"/>
  <c r="H765" i="7"/>
  <c r="E765" i="7"/>
  <c r="H764" i="7"/>
  <c r="E764" i="7"/>
  <c r="H763" i="7"/>
  <c r="E763" i="7"/>
  <c r="H762" i="7"/>
  <c r="E762" i="7"/>
  <c r="H761" i="7"/>
  <c r="E761" i="7"/>
  <c r="H760" i="7"/>
  <c r="E760" i="7"/>
  <c r="H759" i="7"/>
  <c r="E759" i="7"/>
  <c r="H758" i="7"/>
  <c r="E758" i="7"/>
  <c r="H757" i="7"/>
  <c r="E757" i="7"/>
  <c r="H756" i="7"/>
  <c r="E756" i="7"/>
  <c r="H755" i="7"/>
  <c r="E755" i="7"/>
  <c r="H754" i="7"/>
  <c r="E754" i="7"/>
  <c r="H753" i="7"/>
  <c r="E753" i="7"/>
  <c r="H752" i="7"/>
  <c r="E752" i="7"/>
  <c r="H751" i="7"/>
  <c r="E751" i="7"/>
  <c r="H750" i="7"/>
  <c r="E750" i="7"/>
  <c r="H749" i="7"/>
  <c r="E749" i="7"/>
  <c r="H748" i="7"/>
  <c r="E748" i="7"/>
  <c r="H747" i="7"/>
  <c r="E747" i="7"/>
  <c r="H746" i="7"/>
  <c r="E746" i="7"/>
  <c r="H745" i="7"/>
  <c r="E745" i="7"/>
  <c r="H744" i="7"/>
  <c r="E744" i="7"/>
  <c r="H743" i="7"/>
  <c r="E743" i="7"/>
  <c r="H742" i="7"/>
  <c r="E742" i="7"/>
  <c r="H741" i="7"/>
  <c r="E741" i="7"/>
  <c r="H740" i="7"/>
  <c r="E740" i="7"/>
  <c r="H739" i="7"/>
  <c r="E739" i="7"/>
  <c r="H738" i="7"/>
  <c r="E738" i="7"/>
  <c r="H737" i="7"/>
  <c r="E737" i="7"/>
  <c r="H736" i="7"/>
  <c r="E736" i="7"/>
  <c r="H735" i="7"/>
  <c r="E735" i="7"/>
  <c r="H734" i="7"/>
  <c r="E734" i="7"/>
  <c r="H733" i="7"/>
  <c r="E733" i="7"/>
  <c r="H732" i="7"/>
  <c r="E732" i="7"/>
  <c r="H731" i="7"/>
  <c r="E731" i="7"/>
  <c r="H730" i="7"/>
  <c r="E730" i="7"/>
  <c r="H729" i="7"/>
  <c r="E729" i="7"/>
  <c r="H728" i="7"/>
  <c r="E728" i="7"/>
  <c r="H727" i="7"/>
  <c r="E727" i="7"/>
  <c r="H726" i="7"/>
  <c r="E726" i="7"/>
  <c r="H725" i="7"/>
  <c r="E725" i="7"/>
  <c r="H724" i="7"/>
  <c r="E724" i="7"/>
  <c r="H723" i="7"/>
  <c r="E723" i="7"/>
  <c r="H722" i="7"/>
  <c r="E722" i="7"/>
  <c r="H721" i="7"/>
  <c r="E721" i="7"/>
  <c r="H720" i="7"/>
  <c r="E720" i="7"/>
  <c r="H719" i="7"/>
  <c r="E719" i="7"/>
  <c r="H718" i="7"/>
  <c r="E718" i="7"/>
  <c r="H717" i="7"/>
  <c r="E717" i="7"/>
  <c r="H716" i="7"/>
  <c r="E716" i="7"/>
  <c r="H715" i="7"/>
  <c r="E715" i="7"/>
  <c r="H714" i="7"/>
  <c r="E714" i="7"/>
  <c r="H713" i="7"/>
  <c r="E713" i="7"/>
  <c r="H712" i="7"/>
  <c r="E712" i="7"/>
  <c r="H711" i="7"/>
  <c r="E711" i="7"/>
  <c r="H710" i="7"/>
  <c r="E710" i="7"/>
  <c r="H709" i="7"/>
  <c r="E709" i="7"/>
  <c r="H708" i="7"/>
  <c r="E708" i="7"/>
  <c r="H707" i="7"/>
  <c r="E707" i="7"/>
  <c r="H706" i="7"/>
  <c r="E706" i="7"/>
  <c r="H705" i="7"/>
  <c r="E705" i="7"/>
  <c r="H704" i="7"/>
  <c r="E704" i="7"/>
  <c r="H703" i="7"/>
  <c r="E703" i="7"/>
  <c r="H702" i="7"/>
  <c r="E702" i="7"/>
  <c r="H701" i="7"/>
  <c r="E701" i="7"/>
  <c r="H700" i="7"/>
  <c r="E700" i="7"/>
  <c r="H699" i="7"/>
  <c r="E699" i="7"/>
  <c r="H698" i="7"/>
  <c r="E698" i="7"/>
  <c r="H697" i="7"/>
  <c r="E697" i="7"/>
  <c r="H696" i="7"/>
  <c r="E696" i="7"/>
  <c r="H695" i="7"/>
  <c r="E695" i="7"/>
  <c r="H694" i="7"/>
  <c r="E694" i="7"/>
  <c r="H693" i="7"/>
  <c r="E693" i="7"/>
  <c r="H692" i="7"/>
  <c r="E692" i="7"/>
  <c r="H691" i="7"/>
  <c r="E691" i="7"/>
  <c r="H690" i="7"/>
  <c r="E690" i="7"/>
  <c r="H689" i="7"/>
  <c r="E689" i="7"/>
  <c r="H688" i="7"/>
  <c r="E688" i="7"/>
  <c r="H687" i="7"/>
  <c r="E687" i="7"/>
  <c r="H686" i="7"/>
  <c r="E686" i="7"/>
  <c r="H685" i="7"/>
  <c r="E685" i="7"/>
  <c r="H684" i="7"/>
  <c r="E684" i="7"/>
  <c r="H683" i="7"/>
  <c r="E683" i="7"/>
  <c r="H682" i="7"/>
  <c r="E682" i="7"/>
  <c r="H681" i="7"/>
  <c r="E681" i="7"/>
  <c r="H680" i="7"/>
  <c r="E680" i="7"/>
  <c r="H679" i="7"/>
  <c r="E679" i="7"/>
  <c r="H678" i="7"/>
  <c r="E678" i="7"/>
  <c r="H677" i="7"/>
  <c r="E677" i="7"/>
  <c r="H676" i="7"/>
  <c r="E676" i="7"/>
  <c r="H675" i="7"/>
  <c r="E675" i="7"/>
  <c r="H674" i="7"/>
  <c r="E674" i="7"/>
  <c r="H673" i="7"/>
  <c r="E673" i="7"/>
  <c r="H672" i="7"/>
  <c r="E672" i="7"/>
  <c r="H671" i="7"/>
  <c r="E671" i="7"/>
  <c r="H670" i="7"/>
  <c r="E670" i="7"/>
  <c r="H669" i="7"/>
  <c r="E669" i="7"/>
  <c r="H668" i="7"/>
  <c r="E668" i="7"/>
  <c r="H667" i="7"/>
  <c r="E667" i="7"/>
  <c r="H666" i="7"/>
  <c r="E666" i="7"/>
  <c r="H665" i="7"/>
  <c r="E665" i="7"/>
  <c r="H664" i="7"/>
  <c r="E664" i="7"/>
  <c r="H663" i="7"/>
  <c r="E663" i="7"/>
  <c r="H662" i="7"/>
  <c r="E662" i="7"/>
  <c r="H661" i="7"/>
  <c r="E661" i="7"/>
  <c r="H660" i="7"/>
  <c r="E660" i="7"/>
  <c r="H659" i="7"/>
  <c r="E659" i="7"/>
  <c r="H658" i="7"/>
  <c r="E658" i="7"/>
  <c r="H657" i="7"/>
  <c r="E657" i="7"/>
  <c r="H656" i="7"/>
  <c r="E656" i="7"/>
  <c r="H655" i="7"/>
  <c r="E655" i="7"/>
  <c r="H654" i="7"/>
  <c r="E654" i="7"/>
  <c r="H653" i="7"/>
  <c r="E653" i="7"/>
  <c r="H652" i="7"/>
  <c r="E652" i="7"/>
  <c r="H651" i="7"/>
  <c r="E651" i="7"/>
  <c r="H650" i="7"/>
  <c r="E650" i="7"/>
  <c r="H649" i="7"/>
  <c r="E649" i="7"/>
  <c r="H648" i="7"/>
  <c r="E648" i="7"/>
  <c r="H647" i="7"/>
  <c r="E647" i="7"/>
  <c r="H646" i="7"/>
  <c r="E646" i="7"/>
  <c r="H645" i="7"/>
  <c r="E645" i="7"/>
  <c r="H644" i="7"/>
  <c r="E644" i="7"/>
  <c r="H643" i="7"/>
  <c r="E643" i="7"/>
  <c r="H642" i="7"/>
  <c r="E642" i="7"/>
  <c r="H641" i="7"/>
  <c r="E641" i="7"/>
  <c r="H640" i="7"/>
  <c r="E640" i="7"/>
  <c r="H639" i="7"/>
  <c r="E639" i="7"/>
  <c r="H638" i="7"/>
  <c r="E638" i="7"/>
  <c r="H637" i="7"/>
  <c r="E637" i="7"/>
  <c r="H636" i="7"/>
  <c r="E636" i="7"/>
  <c r="H635" i="7"/>
  <c r="E635" i="7"/>
  <c r="H634" i="7"/>
  <c r="E634" i="7"/>
  <c r="H633" i="7"/>
  <c r="E633" i="7"/>
  <c r="H632" i="7"/>
  <c r="E632" i="7"/>
  <c r="H631" i="7"/>
  <c r="E631" i="7"/>
  <c r="H630" i="7"/>
  <c r="E630" i="7"/>
  <c r="H629" i="7"/>
  <c r="E629" i="7"/>
  <c r="H628" i="7"/>
  <c r="E628" i="7"/>
  <c r="H627" i="7"/>
  <c r="E627" i="7"/>
  <c r="H626" i="7"/>
  <c r="E626" i="7"/>
  <c r="H625" i="7"/>
  <c r="E625" i="7"/>
  <c r="H624" i="7"/>
  <c r="E624" i="7"/>
  <c r="H623" i="7"/>
  <c r="E623" i="7"/>
  <c r="H622" i="7"/>
  <c r="E622" i="7"/>
  <c r="H621" i="7"/>
  <c r="E621" i="7"/>
  <c r="H620" i="7"/>
  <c r="E620" i="7"/>
  <c r="H619" i="7"/>
  <c r="E619" i="7"/>
  <c r="H618" i="7"/>
  <c r="E618" i="7"/>
  <c r="H617" i="7"/>
  <c r="E617" i="7"/>
  <c r="H616" i="7"/>
  <c r="E616" i="7"/>
  <c r="H615" i="7"/>
  <c r="E615" i="7"/>
  <c r="H614" i="7"/>
  <c r="E614" i="7"/>
  <c r="H613" i="7"/>
  <c r="E613" i="7"/>
  <c r="H612" i="7"/>
  <c r="E612" i="7"/>
  <c r="H611" i="7"/>
  <c r="E611" i="7"/>
  <c r="H610" i="7"/>
  <c r="E610" i="7"/>
  <c r="H609" i="7"/>
  <c r="E609" i="7"/>
  <c r="H608" i="7"/>
  <c r="E608" i="7"/>
  <c r="H607" i="7"/>
  <c r="E607" i="7"/>
  <c r="H606" i="7"/>
  <c r="E606" i="7"/>
  <c r="H605" i="7"/>
  <c r="E605" i="7"/>
  <c r="H604" i="7"/>
  <c r="E604" i="7"/>
  <c r="H603" i="7"/>
  <c r="E603" i="7"/>
  <c r="H602" i="7"/>
  <c r="E602" i="7"/>
  <c r="H601" i="7"/>
  <c r="E601" i="7"/>
  <c r="H600" i="7"/>
  <c r="E600" i="7"/>
  <c r="H599" i="7"/>
  <c r="E599" i="7"/>
  <c r="H598" i="7"/>
  <c r="E598" i="7"/>
  <c r="H597" i="7"/>
  <c r="E597" i="7"/>
  <c r="H596" i="7"/>
  <c r="E596" i="7"/>
  <c r="H595" i="7"/>
  <c r="E595" i="7"/>
  <c r="H594" i="7"/>
  <c r="E594" i="7"/>
  <c r="H593" i="7"/>
  <c r="E593" i="7"/>
  <c r="H592" i="7"/>
  <c r="E592" i="7"/>
  <c r="H591" i="7"/>
  <c r="E591" i="7"/>
  <c r="H590" i="7"/>
  <c r="E590" i="7"/>
  <c r="H589" i="7"/>
  <c r="E589" i="7"/>
  <c r="H588" i="7"/>
  <c r="E588" i="7"/>
  <c r="H587" i="7"/>
  <c r="E587" i="7"/>
  <c r="H586" i="7"/>
  <c r="E586" i="7"/>
  <c r="H585" i="7"/>
  <c r="E585" i="7"/>
  <c r="H584" i="7"/>
  <c r="E584" i="7"/>
  <c r="H583" i="7"/>
  <c r="E583" i="7"/>
  <c r="H582" i="7"/>
  <c r="E582" i="7"/>
  <c r="H581" i="7"/>
  <c r="E581" i="7"/>
  <c r="H580" i="7"/>
  <c r="E580" i="7"/>
  <c r="H579" i="7"/>
  <c r="E579" i="7"/>
  <c r="H578" i="7"/>
  <c r="E578" i="7"/>
  <c r="H577" i="7"/>
  <c r="E577" i="7"/>
  <c r="H576" i="7"/>
  <c r="E576" i="7"/>
  <c r="H575" i="7"/>
  <c r="E575" i="7"/>
  <c r="H574" i="7"/>
  <c r="E574" i="7"/>
  <c r="H573" i="7"/>
  <c r="E573" i="7"/>
  <c r="H572" i="7"/>
  <c r="E572" i="7"/>
  <c r="H571" i="7"/>
  <c r="E571" i="7"/>
  <c r="H570" i="7"/>
  <c r="E570" i="7"/>
  <c r="H569" i="7"/>
  <c r="E569" i="7"/>
  <c r="H568" i="7"/>
  <c r="E568" i="7"/>
  <c r="H567" i="7"/>
  <c r="E567" i="7"/>
  <c r="H566" i="7"/>
  <c r="E566" i="7"/>
  <c r="H565" i="7"/>
  <c r="E565" i="7"/>
  <c r="H564" i="7"/>
  <c r="E564" i="7"/>
  <c r="H563" i="7"/>
  <c r="E563" i="7"/>
  <c r="H562" i="7"/>
  <c r="E562" i="7"/>
  <c r="H561" i="7"/>
  <c r="E561" i="7"/>
  <c r="H560" i="7"/>
  <c r="E560" i="7"/>
  <c r="H559" i="7"/>
  <c r="E559" i="7"/>
  <c r="H558" i="7"/>
  <c r="E558" i="7"/>
  <c r="H557" i="7"/>
  <c r="E557" i="7"/>
  <c r="H556" i="7"/>
  <c r="E556" i="7"/>
  <c r="H555" i="7"/>
  <c r="E555" i="7"/>
  <c r="H554" i="7"/>
  <c r="E554" i="7"/>
  <c r="H553" i="7"/>
  <c r="E553" i="7"/>
  <c r="H552" i="7"/>
  <c r="E552" i="7"/>
  <c r="H551" i="7"/>
  <c r="E551" i="7"/>
  <c r="H550" i="7"/>
  <c r="E550" i="7"/>
  <c r="H549" i="7"/>
  <c r="E549" i="7"/>
  <c r="H548" i="7"/>
  <c r="E548" i="7"/>
  <c r="H547" i="7"/>
  <c r="E547" i="7"/>
  <c r="H546" i="7"/>
  <c r="E546" i="7"/>
  <c r="H545" i="7"/>
  <c r="E545" i="7"/>
  <c r="H544" i="7"/>
  <c r="E544" i="7"/>
  <c r="H543" i="7"/>
  <c r="E543" i="7"/>
  <c r="H542" i="7"/>
  <c r="E542" i="7"/>
  <c r="H541" i="7"/>
  <c r="E541" i="7"/>
  <c r="H540" i="7"/>
  <c r="E540" i="7"/>
  <c r="H539" i="7"/>
  <c r="E539" i="7"/>
  <c r="H538" i="7"/>
  <c r="E538" i="7"/>
  <c r="H537" i="7"/>
  <c r="E537" i="7"/>
  <c r="H536" i="7"/>
  <c r="E536" i="7"/>
  <c r="H535" i="7"/>
  <c r="E535" i="7"/>
  <c r="H534" i="7"/>
  <c r="E534" i="7"/>
  <c r="H533" i="7"/>
  <c r="E533" i="7"/>
  <c r="H532" i="7"/>
  <c r="E532" i="7"/>
  <c r="H531" i="7"/>
  <c r="E531" i="7"/>
  <c r="H530" i="7"/>
  <c r="E530" i="7"/>
  <c r="H529" i="7"/>
  <c r="E529" i="7"/>
  <c r="H528" i="7"/>
  <c r="E528" i="7"/>
  <c r="H527" i="7"/>
  <c r="E527" i="7"/>
  <c r="H526" i="7"/>
  <c r="E526" i="7"/>
  <c r="H525" i="7"/>
  <c r="E525" i="7"/>
  <c r="H524" i="7"/>
  <c r="E524" i="7"/>
  <c r="H523" i="7"/>
  <c r="E523" i="7"/>
  <c r="H522" i="7"/>
  <c r="E522" i="7"/>
  <c r="H521" i="7"/>
  <c r="E521" i="7"/>
  <c r="H520" i="7"/>
  <c r="E520" i="7"/>
  <c r="H519" i="7"/>
  <c r="E519" i="7"/>
  <c r="H518" i="7"/>
  <c r="E518" i="7"/>
  <c r="H517" i="7"/>
  <c r="E517" i="7"/>
  <c r="H516" i="7"/>
  <c r="E516" i="7"/>
  <c r="H515" i="7"/>
  <c r="E515" i="7"/>
  <c r="H514" i="7"/>
  <c r="E514" i="7"/>
  <c r="H513" i="7"/>
  <c r="E513" i="7"/>
  <c r="H512" i="7"/>
  <c r="E512" i="7"/>
  <c r="H511" i="7"/>
  <c r="E511" i="7"/>
  <c r="H510" i="7"/>
  <c r="E510" i="7"/>
  <c r="H509" i="7"/>
  <c r="E509" i="7"/>
  <c r="H508" i="7"/>
  <c r="E508" i="7"/>
  <c r="H507" i="7"/>
  <c r="E507" i="7"/>
  <c r="H506" i="7"/>
  <c r="E506" i="7"/>
  <c r="H505" i="7"/>
  <c r="E505" i="7"/>
  <c r="H504" i="7"/>
  <c r="E504" i="7"/>
  <c r="H503" i="7"/>
  <c r="E503" i="7"/>
  <c r="H502" i="7"/>
  <c r="E502" i="7"/>
  <c r="H501" i="7"/>
  <c r="E501" i="7"/>
  <c r="H500" i="7"/>
  <c r="E500" i="7"/>
  <c r="H499" i="7"/>
  <c r="E499" i="7"/>
  <c r="H498" i="7"/>
  <c r="E498" i="7"/>
  <c r="H497" i="7"/>
  <c r="E497" i="7"/>
  <c r="H496" i="7"/>
  <c r="E496" i="7"/>
  <c r="H495" i="7"/>
  <c r="E495" i="7"/>
  <c r="H494" i="7"/>
  <c r="E494" i="7"/>
  <c r="H493" i="7"/>
  <c r="E493" i="7"/>
  <c r="H492" i="7"/>
  <c r="E492" i="7"/>
  <c r="H491" i="7"/>
  <c r="E491" i="7"/>
  <c r="H490" i="7"/>
  <c r="E490" i="7"/>
  <c r="H489" i="7"/>
  <c r="E489" i="7"/>
  <c r="H488" i="7"/>
  <c r="E488" i="7"/>
  <c r="H487" i="7"/>
  <c r="E487" i="7"/>
  <c r="H486" i="7"/>
  <c r="E486" i="7"/>
  <c r="H485" i="7"/>
  <c r="E485" i="7"/>
  <c r="H484" i="7"/>
  <c r="E484" i="7"/>
  <c r="H483" i="7"/>
  <c r="E483" i="7"/>
  <c r="H482" i="7"/>
  <c r="E482" i="7"/>
  <c r="H481" i="7"/>
  <c r="E481" i="7"/>
  <c r="H480" i="7"/>
  <c r="E480" i="7"/>
  <c r="H479" i="7"/>
  <c r="E479" i="7"/>
  <c r="H478" i="7"/>
  <c r="E478" i="7"/>
  <c r="H477" i="7"/>
  <c r="E477" i="7"/>
  <c r="H476" i="7"/>
  <c r="E476" i="7"/>
  <c r="H475" i="7"/>
  <c r="E475" i="7"/>
  <c r="H474" i="7"/>
  <c r="E474" i="7"/>
  <c r="H473" i="7"/>
  <c r="E473" i="7"/>
  <c r="H472" i="7"/>
  <c r="E472" i="7"/>
  <c r="H471" i="7"/>
  <c r="E471" i="7"/>
  <c r="H470" i="7"/>
  <c r="E470" i="7"/>
  <c r="H469" i="7"/>
  <c r="E469" i="7"/>
  <c r="H468" i="7"/>
  <c r="E468" i="7"/>
  <c r="H467" i="7"/>
  <c r="E467" i="7"/>
  <c r="H466" i="7"/>
  <c r="E466" i="7"/>
  <c r="H465" i="7"/>
  <c r="E465" i="7"/>
  <c r="H464" i="7"/>
  <c r="E464" i="7"/>
  <c r="H463" i="7"/>
  <c r="E463" i="7"/>
  <c r="H462" i="7"/>
  <c r="E462" i="7"/>
  <c r="H461" i="7"/>
  <c r="E461" i="7"/>
  <c r="H460" i="7"/>
  <c r="E460" i="7"/>
  <c r="H459" i="7"/>
  <c r="E459" i="7"/>
  <c r="H458" i="7"/>
  <c r="E458" i="7"/>
  <c r="H457" i="7"/>
  <c r="E457" i="7"/>
  <c r="H456" i="7"/>
  <c r="E456" i="7"/>
  <c r="H455" i="7"/>
  <c r="E455" i="7"/>
  <c r="H454" i="7"/>
  <c r="E454" i="7"/>
  <c r="H453" i="7"/>
  <c r="E453" i="7"/>
  <c r="H452" i="7"/>
  <c r="E452" i="7"/>
  <c r="H451" i="7"/>
  <c r="E451" i="7"/>
  <c r="H450" i="7"/>
  <c r="E450" i="7"/>
  <c r="H449" i="7"/>
  <c r="E449" i="7"/>
  <c r="H448" i="7"/>
  <c r="E448" i="7"/>
  <c r="H447" i="7"/>
  <c r="E447" i="7"/>
  <c r="H446" i="7"/>
  <c r="E446" i="7"/>
  <c r="H445" i="7"/>
  <c r="E445" i="7"/>
  <c r="H444" i="7"/>
  <c r="E444" i="7"/>
  <c r="H443" i="7"/>
  <c r="E443" i="7"/>
  <c r="H442" i="7"/>
  <c r="E442" i="7"/>
  <c r="H441" i="7"/>
  <c r="E441" i="7"/>
  <c r="H440" i="7"/>
  <c r="E440" i="7"/>
  <c r="H439" i="7"/>
  <c r="E439" i="7"/>
  <c r="H438" i="7"/>
  <c r="E438" i="7"/>
  <c r="H437" i="7"/>
  <c r="E437" i="7"/>
  <c r="H436" i="7"/>
  <c r="E436" i="7"/>
  <c r="H435" i="7"/>
  <c r="E435" i="7"/>
  <c r="H434" i="7"/>
  <c r="E434" i="7"/>
  <c r="H433" i="7"/>
  <c r="E433" i="7"/>
  <c r="H432" i="7"/>
  <c r="E432" i="7"/>
  <c r="H431" i="7"/>
  <c r="E431" i="7"/>
  <c r="H430" i="7"/>
  <c r="E430" i="7"/>
  <c r="H429" i="7"/>
  <c r="E429" i="7"/>
  <c r="H428" i="7"/>
  <c r="E428" i="7"/>
  <c r="H427" i="7"/>
  <c r="E427" i="7"/>
  <c r="H426" i="7"/>
  <c r="E426" i="7"/>
  <c r="H425" i="7"/>
  <c r="E425" i="7"/>
  <c r="H424" i="7"/>
  <c r="E424" i="7"/>
  <c r="H423" i="7"/>
  <c r="E423" i="7"/>
  <c r="H422" i="7"/>
  <c r="E422" i="7"/>
  <c r="H421" i="7"/>
  <c r="E421" i="7"/>
  <c r="H420" i="7"/>
  <c r="E420" i="7"/>
  <c r="H419" i="7"/>
  <c r="E419" i="7"/>
  <c r="H418" i="7"/>
  <c r="E418" i="7"/>
  <c r="H417" i="7"/>
  <c r="E417" i="7"/>
  <c r="H416" i="7"/>
  <c r="E416" i="7"/>
  <c r="H415" i="7"/>
  <c r="E415" i="7"/>
  <c r="H414" i="7"/>
  <c r="E414" i="7"/>
  <c r="H413" i="7"/>
  <c r="E413" i="7"/>
  <c r="H412" i="7"/>
  <c r="E412" i="7"/>
  <c r="H411" i="7"/>
  <c r="E411" i="7"/>
  <c r="H410" i="7"/>
  <c r="E410" i="7"/>
  <c r="H409" i="7"/>
  <c r="E409" i="7"/>
  <c r="H408" i="7"/>
  <c r="E408" i="7"/>
  <c r="H407" i="7"/>
  <c r="E407" i="7"/>
  <c r="H406" i="7"/>
  <c r="E406" i="7"/>
  <c r="H405" i="7"/>
  <c r="E405" i="7"/>
  <c r="H404" i="7"/>
  <c r="E404" i="7"/>
  <c r="H403" i="7"/>
  <c r="E403" i="7"/>
  <c r="H402" i="7"/>
  <c r="E402" i="7"/>
  <c r="H401" i="7"/>
  <c r="E401" i="7"/>
  <c r="H400" i="7"/>
  <c r="E400" i="7"/>
  <c r="H399" i="7"/>
  <c r="E399" i="7"/>
  <c r="H398" i="7"/>
  <c r="E398" i="7"/>
  <c r="H397" i="7"/>
  <c r="E397" i="7"/>
  <c r="H396" i="7"/>
  <c r="E396" i="7"/>
  <c r="H395" i="7"/>
  <c r="E395" i="7"/>
  <c r="H394" i="7"/>
  <c r="E394" i="7"/>
  <c r="H393" i="7"/>
  <c r="E393" i="7"/>
  <c r="H392" i="7"/>
  <c r="E392" i="7"/>
  <c r="H391" i="7"/>
  <c r="E391" i="7"/>
  <c r="H390" i="7"/>
  <c r="E390" i="7"/>
  <c r="H389" i="7"/>
  <c r="E389" i="7"/>
  <c r="H388" i="7"/>
  <c r="E388" i="7"/>
  <c r="H387" i="7"/>
  <c r="E387" i="7"/>
  <c r="H386" i="7"/>
  <c r="E386" i="7"/>
  <c r="H385" i="7"/>
  <c r="E385" i="7"/>
  <c r="H384" i="7"/>
  <c r="E384" i="7"/>
  <c r="H383" i="7"/>
  <c r="E383" i="7"/>
  <c r="H382" i="7"/>
  <c r="E382" i="7"/>
  <c r="H381" i="7"/>
  <c r="E381" i="7"/>
  <c r="H380" i="7"/>
  <c r="E380" i="7"/>
  <c r="H379" i="7"/>
  <c r="E379" i="7"/>
  <c r="H378" i="7"/>
  <c r="E378" i="7"/>
  <c r="H377" i="7"/>
  <c r="E377" i="7"/>
  <c r="H376" i="7"/>
  <c r="E376" i="7"/>
  <c r="H375" i="7"/>
  <c r="E375" i="7"/>
  <c r="H374" i="7"/>
  <c r="E374" i="7"/>
  <c r="H373" i="7"/>
  <c r="E373" i="7"/>
  <c r="H372" i="7"/>
  <c r="E372" i="7"/>
  <c r="H371" i="7"/>
  <c r="E371" i="7"/>
  <c r="H370" i="7"/>
  <c r="E370" i="7"/>
  <c r="H369" i="7"/>
  <c r="E369" i="7"/>
  <c r="H368" i="7"/>
  <c r="E368" i="7"/>
  <c r="H367" i="7"/>
  <c r="E367" i="7"/>
  <c r="H366" i="7"/>
  <c r="E366" i="7"/>
  <c r="H365" i="7"/>
  <c r="E365" i="7"/>
  <c r="H364" i="7"/>
  <c r="E364" i="7"/>
  <c r="H363" i="7"/>
  <c r="E363" i="7"/>
  <c r="H362" i="7"/>
  <c r="E362" i="7"/>
  <c r="H361" i="7"/>
  <c r="E361" i="7"/>
  <c r="H360" i="7"/>
  <c r="E360" i="7"/>
  <c r="H359" i="7"/>
  <c r="E359" i="7"/>
  <c r="H358" i="7"/>
  <c r="E358" i="7"/>
  <c r="H357" i="7"/>
  <c r="E357" i="7"/>
  <c r="H356" i="7"/>
  <c r="E356" i="7"/>
  <c r="H355" i="7"/>
  <c r="E355" i="7"/>
  <c r="H354" i="7"/>
  <c r="E354" i="7"/>
  <c r="H353" i="7"/>
  <c r="E353" i="7"/>
  <c r="H352" i="7"/>
  <c r="E352" i="7"/>
  <c r="H351" i="7"/>
  <c r="E351" i="7"/>
  <c r="H350" i="7"/>
  <c r="E350" i="7"/>
  <c r="H349" i="7"/>
  <c r="E349" i="7"/>
  <c r="H348" i="7"/>
  <c r="E348" i="7"/>
  <c r="H347" i="7"/>
  <c r="E347" i="7"/>
  <c r="H346" i="7"/>
  <c r="E346" i="7"/>
  <c r="H345" i="7"/>
  <c r="E345" i="7"/>
  <c r="H344" i="7"/>
  <c r="E344" i="7"/>
  <c r="H343" i="7"/>
  <c r="E343" i="7"/>
  <c r="H342" i="7"/>
  <c r="E342" i="7"/>
  <c r="H341" i="7"/>
  <c r="E341" i="7"/>
  <c r="H340" i="7"/>
  <c r="E340" i="7"/>
  <c r="H339" i="7"/>
  <c r="E339" i="7"/>
  <c r="H338" i="7"/>
  <c r="E338" i="7"/>
  <c r="H337" i="7"/>
  <c r="E337" i="7"/>
  <c r="H336" i="7"/>
  <c r="E336" i="7"/>
  <c r="H335" i="7"/>
  <c r="E335" i="7"/>
  <c r="H334" i="7"/>
  <c r="E334" i="7"/>
  <c r="H333" i="7"/>
  <c r="E333" i="7"/>
  <c r="H332" i="7"/>
  <c r="E332" i="7"/>
  <c r="H331" i="7"/>
  <c r="E331" i="7"/>
  <c r="H330" i="7"/>
  <c r="E330" i="7"/>
  <c r="H329" i="7"/>
  <c r="E329" i="7"/>
  <c r="H328" i="7"/>
  <c r="E328" i="7"/>
  <c r="H327" i="7"/>
  <c r="E327" i="7"/>
  <c r="H326" i="7"/>
  <c r="E326" i="7"/>
  <c r="H325" i="7"/>
  <c r="E325" i="7"/>
  <c r="H324" i="7"/>
  <c r="E324" i="7"/>
  <c r="H323" i="7"/>
  <c r="E323" i="7"/>
  <c r="H322" i="7"/>
  <c r="E322" i="7"/>
  <c r="H321" i="7"/>
  <c r="E321" i="7"/>
  <c r="H320" i="7"/>
  <c r="E320" i="7"/>
  <c r="H319" i="7"/>
  <c r="E319" i="7"/>
  <c r="H318" i="7"/>
  <c r="E318" i="7"/>
  <c r="H317" i="7"/>
  <c r="E317" i="7"/>
  <c r="H316" i="7"/>
  <c r="E316" i="7"/>
  <c r="H315" i="7"/>
  <c r="E315" i="7"/>
  <c r="H314" i="7"/>
  <c r="E314" i="7"/>
  <c r="H313" i="7"/>
  <c r="E313" i="7"/>
  <c r="H312" i="7"/>
  <c r="E312" i="7"/>
  <c r="H311" i="7"/>
  <c r="E311" i="7"/>
  <c r="H310" i="7"/>
  <c r="E310" i="7"/>
  <c r="H309" i="7"/>
  <c r="E309" i="7"/>
  <c r="H308" i="7"/>
  <c r="E308" i="7"/>
  <c r="H307" i="7"/>
  <c r="E307" i="7"/>
  <c r="H306" i="7"/>
  <c r="E306" i="7"/>
  <c r="H305" i="7"/>
  <c r="E305" i="7"/>
  <c r="H304" i="7"/>
  <c r="E304" i="7"/>
  <c r="H303" i="7"/>
  <c r="E303" i="7"/>
  <c r="H302" i="7"/>
  <c r="E302" i="7"/>
  <c r="H301" i="7"/>
  <c r="E301" i="7"/>
  <c r="H300" i="7"/>
  <c r="E300" i="7"/>
  <c r="H299" i="7"/>
  <c r="E299" i="7"/>
  <c r="H298" i="7"/>
  <c r="E298" i="7"/>
  <c r="H297" i="7"/>
  <c r="E297" i="7"/>
  <c r="H296" i="7"/>
  <c r="E296" i="7"/>
  <c r="H295" i="7"/>
  <c r="E295" i="7"/>
  <c r="H294" i="7"/>
  <c r="E294" i="7"/>
  <c r="H293" i="7"/>
  <c r="E293" i="7"/>
  <c r="H292" i="7"/>
  <c r="E292" i="7"/>
  <c r="H291" i="7"/>
  <c r="E291" i="7"/>
  <c r="H290" i="7"/>
  <c r="E290" i="7"/>
  <c r="H289" i="7"/>
  <c r="E289" i="7"/>
  <c r="H288" i="7"/>
  <c r="E288" i="7"/>
  <c r="H287" i="7"/>
  <c r="E287" i="7"/>
  <c r="H286" i="7"/>
  <c r="E286" i="7"/>
  <c r="H285" i="7"/>
  <c r="E285" i="7"/>
  <c r="H284" i="7"/>
  <c r="E284" i="7"/>
  <c r="H283" i="7"/>
  <c r="E283" i="7"/>
  <c r="H282" i="7"/>
  <c r="E282" i="7"/>
  <c r="H281" i="7"/>
  <c r="E281" i="7"/>
  <c r="H280" i="7"/>
  <c r="E280" i="7"/>
  <c r="H279" i="7"/>
  <c r="E279" i="7"/>
  <c r="H278" i="7"/>
  <c r="E278" i="7"/>
  <c r="H277" i="7"/>
  <c r="E277" i="7"/>
  <c r="H276" i="7"/>
  <c r="E276" i="7"/>
  <c r="H275" i="7"/>
  <c r="E275" i="7"/>
  <c r="H274" i="7"/>
  <c r="E274" i="7"/>
  <c r="H273" i="7"/>
  <c r="E273" i="7"/>
  <c r="H272" i="7"/>
  <c r="E272" i="7"/>
  <c r="H271" i="7"/>
  <c r="E271" i="7"/>
  <c r="H270" i="7"/>
  <c r="E270" i="7"/>
  <c r="H269" i="7"/>
  <c r="E269" i="7"/>
  <c r="H268" i="7"/>
  <c r="E268" i="7"/>
  <c r="H267" i="7"/>
  <c r="E267" i="7"/>
  <c r="H266" i="7"/>
  <c r="E266" i="7"/>
  <c r="H265" i="7"/>
  <c r="E265" i="7"/>
  <c r="H264" i="7"/>
  <c r="E264" i="7"/>
  <c r="H263" i="7"/>
  <c r="E263" i="7"/>
  <c r="H262" i="7"/>
  <c r="E262" i="7"/>
  <c r="H261" i="7"/>
  <c r="E261" i="7"/>
  <c r="H260" i="7"/>
  <c r="E260" i="7"/>
  <c r="H259" i="7"/>
  <c r="E259" i="7"/>
  <c r="H258" i="7"/>
  <c r="E258" i="7"/>
  <c r="H257" i="7"/>
  <c r="E257" i="7"/>
  <c r="H256" i="7"/>
  <c r="E256" i="7"/>
  <c r="H255" i="7"/>
  <c r="E255" i="7"/>
  <c r="H254" i="7"/>
  <c r="E254" i="7"/>
  <c r="H253" i="7"/>
  <c r="E253" i="7"/>
  <c r="H252" i="7"/>
  <c r="E252" i="7"/>
  <c r="H251" i="7"/>
  <c r="E251" i="7"/>
  <c r="H250" i="7"/>
  <c r="E250" i="7"/>
  <c r="H249" i="7"/>
  <c r="E249" i="7"/>
  <c r="H248" i="7"/>
  <c r="E248" i="7"/>
  <c r="H247" i="7"/>
  <c r="E247" i="7"/>
  <c r="H246" i="7"/>
  <c r="E246" i="7"/>
  <c r="H245" i="7"/>
  <c r="E245" i="7"/>
  <c r="H244" i="7"/>
  <c r="E244" i="7"/>
  <c r="H243" i="7"/>
  <c r="E243" i="7"/>
  <c r="H242" i="7"/>
  <c r="E242" i="7"/>
  <c r="H241" i="7"/>
  <c r="E241" i="7"/>
  <c r="H240" i="7"/>
  <c r="E240" i="7"/>
  <c r="H239" i="7"/>
  <c r="E239" i="7"/>
  <c r="H238" i="7"/>
  <c r="E238" i="7"/>
  <c r="H237" i="7"/>
  <c r="E237" i="7"/>
  <c r="H236" i="7"/>
  <c r="E236" i="7"/>
  <c r="H235" i="7"/>
  <c r="E235" i="7"/>
  <c r="H234" i="7"/>
  <c r="E234" i="7"/>
  <c r="H233" i="7"/>
  <c r="E233" i="7"/>
  <c r="H232" i="7"/>
  <c r="E232" i="7"/>
  <c r="H231" i="7"/>
  <c r="E231" i="7"/>
  <c r="H230" i="7"/>
  <c r="E230" i="7"/>
  <c r="H229" i="7"/>
  <c r="E229" i="7"/>
  <c r="H228" i="7"/>
  <c r="E228" i="7"/>
  <c r="H227" i="7"/>
  <c r="E227" i="7"/>
  <c r="H226" i="7"/>
  <c r="E226" i="7"/>
  <c r="H225" i="7"/>
  <c r="E225" i="7"/>
  <c r="H224" i="7"/>
  <c r="E224" i="7"/>
  <c r="H223" i="7"/>
  <c r="E223" i="7"/>
  <c r="H222" i="7"/>
  <c r="E222" i="7"/>
  <c r="H221" i="7"/>
  <c r="E221" i="7"/>
  <c r="H220" i="7"/>
  <c r="E220" i="7"/>
  <c r="H219" i="7"/>
  <c r="E219" i="7"/>
  <c r="H218" i="7"/>
  <c r="E218" i="7"/>
  <c r="H217" i="7"/>
  <c r="E217" i="7"/>
  <c r="H216" i="7"/>
  <c r="E216" i="7"/>
  <c r="H215" i="7"/>
  <c r="E215" i="7"/>
  <c r="H214" i="7"/>
  <c r="E214" i="7"/>
  <c r="H213" i="7"/>
  <c r="E213" i="7"/>
  <c r="H212" i="7"/>
  <c r="E212" i="7"/>
  <c r="H211" i="7"/>
  <c r="E211" i="7"/>
  <c r="H210" i="7"/>
  <c r="E210" i="7"/>
  <c r="H209" i="7"/>
  <c r="E209" i="7"/>
  <c r="H208" i="7"/>
  <c r="E208" i="7"/>
  <c r="H207" i="7"/>
  <c r="E207" i="7"/>
  <c r="H206" i="7"/>
  <c r="E206" i="7"/>
  <c r="H205" i="7"/>
  <c r="E205" i="7"/>
  <c r="H204" i="7"/>
  <c r="E204" i="7"/>
  <c r="H203" i="7"/>
  <c r="E203" i="7"/>
  <c r="H202" i="7"/>
  <c r="E202" i="7"/>
  <c r="H201" i="7"/>
  <c r="E201" i="7"/>
  <c r="H200" i="7"/>
  <c r="E200" i="7"/>
  <c r="H199" i="7"/>
  <c r="E199" i="7"/>
  <c r="H198" i="7"/>
  <c r="E198" i="7"/>
  <c r="H197" i="7"/>
  <c r="E197" i="7"/>
  <c r="H196" i="7"/>
  <c r="E196" i="7"/>
  <c r="H195" i="7"/>
  <c r="E195" i="7"/>
  <c r="H194" i="7"/>
  <c r="E194" i="7"/>
  <c r="H193" i="7"/>
  <c r="E193" i="7"/>
  <c r="H192" i="7"/>
  <c r="E192" i="7"/>
  <c r="H191" i="7"/>
  <c r="E191" i="7"/>
  <c r="H190" i="7"/>
  <c r="E190" i="7"/>
  <c r="H189" i="7"/>
  <c r="E189" i="7"/>
  <c r="H188" i="7"/>
  <c r="E188" i="7"/>
  <c r="H187" i="7"/>
  <c r="E187" i="7"/>
  <c r="H186" i="7"/>
  <c r="E186" i="7"/>
  <c r="H185" i="7"/>
  <c r="E185" i="7"/>
  <c r="H184" i="7"/>
  <c r="E184" i="7"/>
  <c r="H183" i="7"/>
  <c r="E183" i="7"/>
  <c r="H182" i="7"/>
  <c r="E182" i="7"/>
  <c r="H181" i="7"/>
  <c r="E181" i="7"/>
  <c r="H180" i="7"/>
  <c r="E180" i="7"/>
  <c r="H179" i="7"/>
  <c r="E179" i="7"/>
  <c r="H178" i="7"/>
  <c r="E178" i="7"/>
  <c r="H177" i="7"/>
  <c r="E177" i="7"/>
  <c r="H176" i="7"/>
  <c r="E176" i="7"/>
  <c r="H175" i="7"/>
  <c r="E175" i="7"/>
  <c r="H174" i="7"/>
  <c r="E174" i="7"/>
  <c r="H173" i="7"/>
  <c r="E173" i="7"/>
  <c r="H172" i="7"/>
  <c r="E172" i="7"/>
  <c r="H171" i="7"/>
  <c r="E171" i="7"/>
  <c r="H170" i="7"/>
  <c r="E170" i="7"/>
  <c r="H169" i="7"/>
  <c r="E169" i="7"/>
  <c r="H168" i="7"/>
  <c r="E168" i="7"/>
  <c r="H167" i="7"/>
  <c r="E167" i="7"/>
  <c r="H166" i="7"/>
  <c r="E166" i="7"/>
  <c r="H165" i="7"/>
  <c r="E165" i="7"/>
  <c r="H164" i="7"/>
  <c r="E164" i="7"/>
  <c r="H163" i="7"/>
  <c r="E163" i="7"/>
  <c r="H162" i="7"/>
  <c r="E162" i="7"/>
  <c r="H161" i="7"/>
  <c r="E161" i="7"/>
  <c r="H160" i="7"/>
  <c r="E160" i="7"/>
  <c r="H159" i="7"/>
  <c r="E159" i="7"/>
  <c r="H158" i="7"/>
  <c r="E158" i="7"/>
  <c r="H157" i="7"/>
  <c r="E157" i="7"/>
  <c r="H156" i="7"/>
  <c r="E156" i="7"/>
  <c r="H155" i="7"/>
  <c r="E155" i="7"/>
  <c r="H154" i="7"/>
  <c r="E154" i="7"/>
  <c r="H153" i="7"/>
  <c r="E153" i="7"/>
  <c r="H152" i="7"/>
  <c r="E152" i="7"/>
  <c r="H151" i="7"/>
  <c r="E151" i="7"/>
  <c r="H150" i="7"/>
  <c r="E150" i="7"/>
  <c r="H149" i="7"/>
  <c r="E149" i="7"/>
  <c r="H148" i="7"/>
  <c r="E148" i="7"/>
  <c r="H147" i="7"/>
  <c r="E147" i="7"/>
  <c r="H146" i="7"/>
  <c r="E146" i="7"/>
  <c r="H145" i="7"/>
  <c r="E145" i="7"/>
  <c r="H144" i="7"/>
  <c r="E144" i="7"/>
  <c r="H143" i="7"/>
  <c r="E143" i="7"/>
  <c r="H142" i="7"/>
  <c r="E142" i="7"/>
  <c r="H141" i="7"/>
  <c r="E141" i="7"/>
  <c r="H140" i="7"/>
  <c r="E140" i="7"/>
  <c r="H139" i="7"/>
  <c r="E139" i="7"/>
  <c r="H138" i="7"/>
  <c r="E138" i="7"/>
  <c r="H137" i="7"/>
  <c r="E137" i="7"/>
  <c r="H136" i="7"/>
  <c r="E136" i="7"/>
  <c r="H135" i="7"/>
  <c r="E135" i="7"/>
  <c r="H134" i="7"/>
  <c r="E134" i="7"/>
  <c r="H133" i="7"/>
  <c r="E133" i="7"/>
  <c r="H132" i="7"/>
  <c r="E132" i="7"/>
  <c r="H131" i="7"/>
  <c r="E131" i="7"/>
  <c r="H130" i="7"/>
  <c r="E130" i="7"/>
  <c r="H129" i="7"/>
  <c r="E129" i="7"/>
  <c r="H128" i="7"/>
  <c r="E128" i="7"/>
  <c r="H127" i="7"/>
  <c r="E127" i="7"/>
  <c r="H126" i="7"/>
  <c r="E126" i="7"/>
  <c r="H125" i="7"/>
  <c r="E125" i="7"/>
  <c r="H124" i="7"/>
  <c r="E124" i="7"/>
  <c r="H123" i="7"/>
  <c r="E123" i="7"/>
  <c r="H122" i="7"/>
  <c r="E122" i="7"/>
  <c r="H121" i="7"/>
  <c r="E121" i="7"/>
  <c r="H120" i="7"/>
  <c r="E120" i="7"/>
  <c r="H119" i="7"/>
  <c r="E119" i="7"/>
  <c r="H118" i="7"/>
  <c r="E118" i="7"/>
  <c r="H117" i="7"/>
  <c r="E117" i="7"/>
  <c r="H116" i="7"/>
  <c r="E116" i="7"/>
  <c r="H115" i="7"/>
  <c r="E115" i="7"/>
  <c r="H114" i="7"/>
  <c r="E114" i="7"/>
  <c r="H113" i="7"/>
  <c r="E113" i="7"/>
  <c r="H112" i="7"/>
  <c r="E112" i="7"/>
  <c r="H111" i="7"/>
  <c r="E111" i="7"/>
  <c r="H110" i="7"/>
  <c r="E110" i="7"/>
  <c r="H109" i="7"/>
  <c r="E109" i="7"/>
  <c r="H108" i="7"/>
  <c r="E108" i="7"/>
  <c r="H107" i="7"/>
  <c r="E107" i="7"/>
  <c r="H106" i="7"/>
  <c r="E106" i="7"/>
  <c r="H105" i="7"/>
  <c r="E105" i="7"/>
  <c r="H104" i="7"/>
  <c r="E104" i="7"/>
  <c r="H103" i="7"/>
  <c r="E103" i="7"/>
  <c r="H102" i="7"/>
  <c r="E102" i="7"/>
  <c r="H101" i="7"/>
  <c r="E101" i="7"/>
  <c r="H100" i="7"/>
  <c r="E100" i="7"/>
  <c r="H99" i="7"/>
  <c r="E99" i="7"/>
  <c r="H98" i="7"/>
  <c r="E98" i="7"/>
  <c r="H97" i="7"/>
  <c r="E97" i="7"/>
  <c r="H96" i="7"/>
  <c r="E96" i="7"/>
  <c r="H95" i="7"/>
  <c r="E95" i="7"/>
  <c r="H94" i="7"/>
  <c r="E94" i="7"/>
  <c r="H93" i="7"/>
  <c r="E93" i="7"/>
  <c r="H92" i="7"/>
  <c r="E92" i="7"/>
  <c r="H91" i="7"/>
  <c r="E91" i="7"/>
  <c r="H90" i="7"/>
  <c r="E90" i="7"/>
  <c r="H89" i="7"/>
  <c r="E89" i="7"/>
  <c r="H88" i="7"/>
  <c r="E88" i="7"/>
  <c r="H87" i="7"/>
  <c r="E87" i="7"/>
  <c r="H86" i="7"/>
  <c r="E86" i="7"/>
  <c r="H85" i="7"/>
  <c r="E85" i="7"/>
  <c r="H84" i="7"/>
  <c r="E84" i="7"/>
  <c r="H83" i="7"/>
  <c r="E83" i="7"/>
  <c r="H82" i="7"/>
  <c r="E82" i="7"/>
  <c r="H81" i="7"/>
  <c r="E81" i="7"/>
  <c r="H80" i="7"/>
  <c r="E80" i="7"/>
  <c r="H79" i="7"/>
  <c r="E79" i="7"/>
  <c r="H78" i="7"/>
  <c r="E78" i="7"/>
  <c r="H77" i="7"/>
  <c r="E77" i="7"/>
  <c r="H76" i="7"/>
  <c r="E76" i="7"/>
  <c r="H75" i="7"/>
  <c r="E75" i="7"/>
  <c r="H74" i="7"/>
  <c r="E74" i="7"/>
  <c r="H73" i="7"/>
  <c r="E73" i="7"/>
  <c r="H72" i="7"/>
  <c r="E72" i="7"/>
  <c r="H71" i="7"/>
  <c r="E71" i="7"/>
  <c r="H70" i="7"/>
  <c r="E70" i="7"/>
  <c r="H69" i="7"/>
  <c r="E69" i="7"/>
  <c r="H68" i="7"/>
  <c r="E68" i="7"/>
  <c r="H67" i="7"/>
  <c r="E67" i="7"/>
  <c r="H66" i="7"/>
  <c r="E66" i="7"/>
  <c r="H65" i="7"/>
  <c r="E65" i="7"/>
  <c r="H64" i="7"/>
  <c r="E64" i="7"/>
  <c r="H63" i="7"/>
  <c r="E63" i="7"/>
  <c r="H62" i="7"/>
  <c r="E62" i="7"/>
  <c r="H61" i="7"/>
  <c r="E61" i="7"/>
  <c r="H60" i="7"/>
  <c r="E60" i="7"/>
  <c r="H59" i="7"/>
  <c r="E59" i="7"/>
  <c r="H58" i="7"/>
  <c r="E58" i="7"/>
  <c r="H57" i="7"/>
  <c r="E57" i="7"/>
  <c r="H56" i="7"/>
  <c r="E56" i="7"/>
  <c r="H55" i="7"/>
  <c r="E55" i="7"/>
  <c r="H54" i="7"/>
  <c r="E54" i="7"/>
  <c r="H53" i="7"/>
  <c r="E53" i="7"/>
  <c r="H52" i="7"/>
  <c r="E52" i="7"/>
  <c r="H51" i="7"/>
  <c r="E51" i="7"/>
  <c r="H50" i="7"/>
  <c r="E50" i="7"/>
  <c r="H49" i="7"/>
  <c r="E49" i="7"/>
  <c r="H48" i="7"/>
  <c r="E48" i="7"/>
  <c r="H47" i="7"/>
  <c r="E47" i="7"/>
  <c r="H46" i="7"/>
  <c r="E46" i="7"/>
  <c r="H45" i="7"/>
  <c r="E45" i="7"/>
  <c r="H44" i="7"/>
  <c r="E44" i="7"/>
  <c r="H43" i="7"/>
  <c r="E43" i="7"/>
  <c r="H42" i="7"/>
  <c r="E42" i="7"/>
  <c r="H41" i="7"/>
  <c r="E41" i="7"/>
  <c r="H40" i="7"/>
  <c r="E40" i="7"/>
  <c r="H39" i="7"/>
  <c r="E39" i="7"/>
  <c r="H38" i="7"/>
  <c r="E38" i="7"/>
  <c r="H37" i="7"/>
  <c r="E37" i="7"/>
  <c r="H36" i="7"/>
  <c r="E36" i="7"/>
  <c r="H35" i="7"/>
  <c r="E35" i="7"/>
  <c r="H34" i="7"/>
  <c r="E34" i="7"/>
  <c r="H33" i="7"/>
  <c r="E33" i="7"/>
  <c r="H32" i="7"/>
  <c r="E32" i="7"/>
  <c r="H31" i="7"/>
  <c r="E31" i="7"/>
  <c r="H30" i="7"/>
  <c r="E30" i="7"/>
  <c r="H29" i="7"/>
  <c r="E29" i="7"/>
  <c r="H28" i="7"/>
  <c r="E28" i="7"/>
  <c r="H27" i="7"/>
  <c r="E27" i="7"/>
  <c r="H26" i="7"/>
  <c r="E26" i="7"/>
  <c r="H25" i="7"/>
  <c r="E25" i="7"/>
  <c r="H24" i="7"/>
  <c r="E24" i="7"/>
  <c r="H23" i="7"/>
  <c r="E23" i="7"/>
  <c r="H22" i="7"/>
  <c r="E22" i="7"/>
  <c r="H21" i="7"/>
  <c r="E21" i="7"/>
  <c r="H20" i="7"/>
  <c r="E20" i="7"/>
  <c r="H19" i="7"/>
  <c r="E19" i="7"/>
  <c r="H18" i="7"/>
  <c r="E18" i="7"/>
  <c r="H17" i="7"/>
  <c r="E17" i="7"/>
  <c r="H16" i="7"/>
  <c r="E16" i="7"/>
  <c r="H15" i="7"/>
  <c r="E15" i="7"/>
  <c r="H14" i="7"/>
  <c r="E14" i="7"/>
  <c r="H13" i="7"/>
  <c r="E13" i="7"/>
  <c r="H12" i="7"/>
  <c r="E12" i="7"/>
  <c r="H11" i="7"/>
  <c r="E11" i="7"/>
  <c r="H10" i="7"/>
  <c r="E10" i="7"/>
  <c r="H9" i="7"/>
  <c r="E9" i="7"/>
  <c r="H8" i="7"/>
  <c r="E8" i="7"/>
  <c r="H7" i="7"/>
  <c r="E7" i="7"/>
  <c r="H6" i="7"/>
  <c r="E6" i="7"/>
  <c r="H5" i="7"/>
  <c r="E5" i="7"/>
  <c r="H4" i="7"/>
  <c r="E4" i="7"/>
  <c r="CA3" i="7"/>
  <c r="BE3" i="9" s="1"/>
  <c r="BZ3" i="7"/>
  <c r="BD3" i="9" s="1"/>
  <c r="BD4" i="9" s="1"/>
  <c r="BY3" i="7"/>
  <c r="BC3" i="9" s="1"/>
  <c r="BX3" i="7"/>
  <c r="BB3" i="9" s="1"/>
  <c r="BW3" i="7"/>
  <c r="BA3" i="9" s="1"/>
  <c r="BV3" i="7"/>
  <c r="AZ3" i="9" s="1"/>
  <c r="BU3" i="7"/>
  <c r="AY3" i="9" s="1"/>
  <c r="BT3" i="7"/>
  <c r="AX3" i="9" s="1"/>
  <c r="BS3" i="7"/>
  <c r="AW3" i="9" s="1"/>
  <c r="BR3" i="7"/>
  <c r="AV3" i="9" s="1"/>
  <c r="AV4" i="9" s="1"/>
  <c r="BQ3" i="7"/>
  <c r="BP3" i="7"/>
  <c r="BO3" i="7"/>
  <c r="M35" i="9" s="1"/>
  <c r="BN3" i="7"/>
  <c r="L35" i="9" s="1"/>
  <c r="BM3" i="7"/>
  <c r="BL3" i="7"/>
  <c r="BK3" i="7"/>
  <c r="BJ3" i="7"/>
  <c r="BI3" i="7"/>
  <c r="BH3" i="7"/>
  <c r="BG3" i="7"/>
  <c r="E35" i="9" s="1"/>
  <c r="BF3" i="7"/>
  <c r="D35" i="9" s="1"/>
  <c r="BE3" i="7"/>
  <c r="BD3" i="7"/>
  <c r="AH3" i="9" s="1"/>
  <c r="BC3" i="7"/>
  <c r="AG3" i="9" s="1"/>
  <c r="BB3" i="7"/>
  <c r="AF3" i="9" s="1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E3" i="7"/>
  <c r="ED13" i="6"/>
  <c r="BG13" i="9" s="1"/>
  <c r="BG21" i="9" s="1"/>
  <c r="EB13" i="6"/>
  <c r="BE13" i="9" s="1"/>
  <c r="DZ13" i="6"/>
  <c r="BC13" i="9" s="1"/>
  <c r="DV13" i="6"/>
  <c r="AY13" i="9" s="1"/>
  <c r="DT13" i="6"/>
  <c r="DS13" i="6"/>
  <c r="DP13" i="6"/>
  <c r="DN13" i="6"/>
  <c r="DM13" i="6"/>
  <c r="DL13" i="6"/>
  <c r="DJ13" i="6"/>
  <c r="DH13" i="6"/>
  <c r="DC13" i="6"/>
  <c r="DB13" i="6"/>
  <c r="DA13" i="6"/>
  <c r="CZ13" i="6"/>
  <c r="CY13" i="6"/>
  <c r="CX13" i="6"/>
  <c r="CV13" i="6"/>
  <c r="CT13" i="6"/>
  <c r="CP13" i="6"/>
  <c r="CN13" i="6"/>
  <c r="CM13" i="6"/>
  <c r="CJ13" i="6"/>
  <c r="CH13" i="6"/>
  <c r="CG13" i="6"/>
  <c r="CF13" i="6"/>
  <c r="CD13" i="6"/>
  <c r="CB13" i="6"/>
  <c r="BW13" i="6"/>
  <c r="BV13" i="6"/>
  <c r="BU13" i="6"/>
  <c r="BT13" i="6"/>
  <c r="BS13" i="6"/>
  <c r="BR13" i="6"/>
  <c r="BP13" i="6"/>
  <c r="BN13" i="6"/>
  <c r="BJ13" i="6"/>
  <c r="BH13" i="6"/>
  <c r="BG13" i="6"/>
  <c r="BD13" i="6"/>
  <c r="BB13" i="6"/>
  <c r="BA13" i="6"/>
  <c r="AZ13" i="6"/>
  <c r="AX13" i="6"/>
  <c r="AV13" i="6"/>
  <c r="AQ13" i="6"/>
  <c r="AP13" i="6"/>
  <c r="AO13" i="6"/>
  <c r="AN13" i="6"/>
  <c r="AM13" i="6"/>
  <c r="AL13" i="6"/>
  <c r="AJ13" i="6"/>
  <c r="AH13" i="6"/>
  <c r="AD13" i="6"/>
  <c r="AB13" i="6"/>
  <c r="AA13" i="6"/>
  <c r="X13" i="6"/>
  <c r="V13" i="6"/>
  <c r="U13" i="6"/>
  <c r="T13" i="6"/>
  <c r="R13" i="6"/>
  <c r="P13" i="6"/>
  <c r="K13" i="6"/>
  <c r="J13" i="6"/>
  <c r="I13" i="6"/>
  <c r="H13" i="6"/>
  <c r="G13" i="6"/>
  <c r="F13" i="6"/>
  <c r="D13" i="6"/>
  <c r="B13" i="6"/>
  <c r="ED11" i="6"/>
  <c r="EC11" i="6"/>
  <c r="EC13" i="6" s="1"/>
  <c r="BF13" i="9" s="1"/>
  <c r="EB11" i="6"/>
  <c r="EA11" i="6"/>
  <c r="EA13" i="6" s="1"/>
  <c r="BD13" i="9" s="1"/>
  <c r="DZ11" i="6"/>
  <c r="DY11" i="6"/>
  <c r="DY13" i="6" s="1"/>
  <c r="BB13" i="9" s="1"/>
  <c r="DX11" i="6"/>
  <c r="DX13" i="6" s="1"/>
  <c r="BA13" i="9" s="1"/>
  <c r="DW11" i="6"/>
  <c r="DW13" i="6" s="1"/>
  <c r="AZ13" i="9" s="1"/>
  <c r="DV11" i="6"/>
  <c r="DU11" i="6"/>
  <c r="DU13" i="6" s="1"/>
  <c r="DT11" i="6"/>
  <c r="DS11" i="6"/>
  <c r="DR11" i="6"/>
  <c r="DR13" i="6" s="1"/>
  <c r="DQ11" i="6"/>
  <c r="DQ13" i="6" s="1"/>
  <c r="DP11" i="6"/>
  <c r="DO11" i="6"/>
  <c r="DO13" i="6" s="1"/>
  <c r="DN11" i="6"/>
  <c r="DM11" i="6"/>
  <c r="DL11" i="6"/>
  <c r="DK11" i="6"/>
  <c r="DK13" i="6" s="1"/>
  <c r="DJ11" i="6"/>
  <c r="DI11" i="6"/>
  <c r="DI13" i="6" s="1"/>
  <c r="DH11" i="6"/>
  <c r="DG11" i="6"/>
  <c r="DG13" i="6" s="1"/>
  <c r="DF11" i="6"/>
  <c r="DF13" i="6" s="1"/>
  <c r="DE11" i="6"/>
  <c r="DE13" i="6" s="1"/>
  <c r="DD11" i="6"/>
  <c r="DD13" i="6" s="1"/>
  <c r="DC11" i="6"/>
  <c r="DB11" i="6"/>
  <c r="DA11" i="6"/>
  <c r="CZ11" i="6"/>
  <c r="CY11" i="6"/>
  <c r="CX11" i="6"/>
  <c r="CW11" i="6"/>
  <c r="CW13" i="6" s="1"/>
  <c r="CV11" i="6"/>
  <c r="CU11" i="6"/>
  <c r="CU13" i="6" s="1"/>
  <c r="CT11" i="6"/>
  <c r="CS11" i="6"/>
  <c r="CS13" i="6" s="1"/>
  <c r="CR11" i="6"/>
  <c r="CR13" i="6" s="1"/>
  <c r="CQ11" i="6"/>
  <c r="CQ13" i="6" s="1"/>
  <c r="CP11" i="6"/>
  <c r="CO11" i="6"/>
  <c r="CO13" i="6" s="1"/>
  <c r="CN11" i="6"/>
  <c r="CM11" i="6"/>
  <c r="CL11" i="6"/>
  <c r="CL13" i="6" s="1"/>
  <c r="CK11" i="6"/>
  <c r="CK13" i="6" s="1"/>
  <c r="CJ11" i="6"/>
  <c r="CI11" i="6"/>
  <c r="CI13" i="6" s="1"/>
  <c r="CH11" i="6"/>
  <c r="CG11" i="6"/>
  <c r="CF11" i="6"/>
  <c r="CE11" i="6"/>
  <c r="CE13" i="6" s="1"/>
  <c r="CD11" i="6"/>
  <c r="CC11" i="6"/>
  <c r="CC13" i="6" s="1"/>
  <c r="CB11" i="6"/>
  <c r="CA11" i="6"/>
  <c r="CA13" i="6" s="1"/>
  <c r="BZ11" i="6"/>
  <c r="BZ13" i="6" s="1"/>
  <c r="BY11" i="6"/>
  <c r="BY13" i="6" s="1"/>
  <c r="BX11" i="6"/>
  <c r="BX13" i="6" s="1"/>
  <c r="BW11" i="6"/>
  <c r="BV11" i="6"/>
  <c r="BU11" i="6"/>
  <c r="BT11" i="6"/>
  <c r="BS11" i="6"/>
  <c r="BR11" i="6"/>
  <c r="BQ11" i="6"/>
  <c r="BQ13" i="6" s="1"/>
  <c r="BP11" i="6"/>
  <c r="BO11" i="6"/>
  <c r="BO13" i="6" s="1"/>
  <c r="BN11" i="6"/>
  <c r="BM11" i="6"/>
  <c r="BM13" i="6" s="1"/>
  <c r="BL11" i="6"/>
  <c r="BL13" i="6" s="1"/>
  <c r="BK11" i="6"/>
  <c r="BK13" i="6" s="1"/>
  <c r="BJ11" i="6"/>
  <c r="BI11" i="6"/>
  <c r="BI13" i="6" s="1"/>
  <c r="BH11" i="6"/>
  <c r="BG11" i="6"/>
  <c r="BF11" i="6"/>
  <c r="BF13" i="6" s="1"/>
  <c r="BE11" i="6"/>
  <c r="BE13" i="6" s="1"/>
  <c r="BD11" i="6"/>
  <c r="BC11" i="6"/>
  <c r="BC13" i="6" s="1"/>
  <c r="BB11" i="6"/>
  <c r="BA11" i="6"/>
  <c r="AZ11" i="6"/>
  <c r="AY11" i="6"/>
  <c r="AY13" i="6" s="1"/>
  <c r="AX11" i="6"/>
  <c r="AW11" i="6"/>
  <c r="AW13" i="6" s="1"/>
  <c r="AV11" i="6"/>
  <c r="AU11" i="6"/>
  <c r="AU13" i="6" s="1"/>
  <c r="AT11" i="6"/>
  <c r="AT13" i="6" s="1"/>
  <c r="AS11" i="6"/>
  <c r="AS13" i="6" s="1"/>
  <c r="AR11" i="6"/>
  <c r="AR13" i="6" s="1"/>
  <c r="AQ11" i="6"/>
  <c r="AP11" i="6"/>
  <c r="AO11" i="6"/>
  <c r="AN11" i="6"/>
  <c r="AM11" i="6"/>
  <c r="AL11" i="6"/>
  <c r="AK11" i="6"/>
  <c r="AK13" i="6" s="1"/>
  <c r="AJ11" i="6"/>
  <c r="AI11" i="6"/>
  <c r="AI13" i="6" s="1"/>
  <c r="AH11" i="6"/>
  <c r="AG11" i="6"/>
  <c r="AG13" i="6" s="1"/>
  <c r="AF11" i="6"/>
  <c r="AF13" i="6" s="1"/>
  <c r="AE11" i="6"/>
  <c r="AE13" i="6" s="1"/>
  <c r="AD11" i="6"/>
  <c r="AC11" i="6"/>
  <c r="AC13" i="6" s="1"/>
  <c r="AB11" i="6"/>
  <c r="AA11" i="6"/>
  <c r="Z11" i="6"/>
  <c r="Z13" i="6" s="1"/>
  <c r="Y11" i="6"/>
  <c r="Y13" i="6" s="1"/>
  <c r="X11" i="6"/>
  <c r="W11" i="6"/>
  <c r="W13" i="6" s="1"/>
  <c r="V11" i="6"/>
  <c r="U11" i="6"/>
  <c r="T11" i="6"/>
  <c r="S11" i="6"/>
  <c r="S13" i="6" s="1"/>
  <c r="R11" i="6"/>
  <c r="Q11" i="6"/>
  <c r="Q13" i="6" s="1"/>
  <c r="P11" i="6"/>
  <c r="O11" i="6"/>
  <c r="O13" i="6" s="1"/>
  <c r="N11" i="6"/>
  <c r="N13" i="6" s="1"/>
  <c r="M11" i="6"/>
  <c r="M13" i="6" s="1"/>
  <c r="L11" i="6"/>
  <c r="L13" i="6" s="1"/>
  <c r="K11" i="6"/>
  <c r="J11" i="6"/>
  <c r="I11" i="6"/>
  <c r="H11" i="6"/>
  <c r="G11" i="6"/>
  <c r="F11" i="6"/>
  <c r="E11" i="6"/>
  <c r="E13" i="6" s="1"/>
  <c r="D11" i="6"/>
  <c r="C11" i="6"/>
  <c r="C13" i="6" s="1"/>
  <c r="B11" i="6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G12" i="9" s="1"/>
  <c r="BH12" i="9" s="1"/>
  <c r="BI12" i="9" s="1"/>
  <c r="B27" i="5"/>
  <c r="BF12" i="9" s="1"/>
  <c r="B26" i="5"/>
  <c r="BE12" i="9" s="1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E85" i="4"/>
  <c r="D85" i="4"/>
  <c r="C85" i="4"/>
  <c r="E84" i="4"/>
  <c r="D84" i="4"/>
  <c r="C84" i="4"/>
  <c r="D83" i="4"/>
  <c r="C83" i="4"/>
  <c r="E83" i="4" s="1"/>
  <c r="F85" i="4" s="1"/>
  <c r="E82" i="4"/>
  <c r="F84" i="4" s="1"/>
  <c r="D82" i="4"/>
  <c r="C82" i="4"/>
  <c r="E81" i="4"/>
  <c r="D81" i="4"/>
  <c r="C81" i="4"/>
  <c r="D80" i="4"/>
  <c r="C80" i="4"/>
  <c r="E80" i="4" s="1"/>
  <c r="F82" i="4" s="1"/>
  <c r="E79" i="4"/>
  <c r="F81" i="4" s="1"/>
  <c r="D79" i="4"/>
  <c r="C79" i="4"/>
  <c r="E78" i="4"/>
  <c r="F80" i="4" s="1"/>
  <c r="D78" i="4"/>
  <c r="C78" i="4"/>
  <c r="D77" i="4"/>
  <c r="C77" i="4"/>
  <c r="E77" i="4" s="1"/>
  <c r="F79" i="4" s="1"/>
  <c r="E76" i="4"/>
  <c r="D76" i="4"/>
  <c r="C76" i="4"/>
  <c r="D75" i="4"/>
  <c r="E75" i="4" s="1"/>
  <c r="F77" i="4" s="1"/>
  <c r="C75" i="4"/>
  <c r="E74" i="4"/>
  <c r="D74" i="4"/>
  <c r="C74" i="4"/>
  <c r="E73" i="4"/>
  <c r="D73" i="4"/>
  <c r="C73" i="4"/>
  <c r="D72" i="4"/>
  <c r="C72" i="4"/>
  <c r="E72" i="4" s="1"/>
  <c r="F74" i="4" s="1"/>
  <c r="BG4" i="9" s="1"/>
  <c r="F71" i="4"/>
  <c r="E71" i="4"/>
  <c r="F73" i="4" s="1"/>
  <c r="BF4" i="9" s="1"/>
  <c r="D71" i="4"/>
  <c r="C71" i="4"/>
  <c r="E70" i="4"/>
  <c r="F72" i="4" s="1"/>
  <c r="D70" i="4"/>
  <c r="C70" i="4"/>
  <c r="E69" i="4"/>
  <c r="D69" i="4"/>
  <c r="C69" i="4"/>
  <c r="E68" i="4"/>
  <c r="F70" i="4" s="1"/>
  <c r="D68" i="4"/>
  <c r="C68" i="4"/>
  <c r="D67" i="4"/>
  <c r="C67" i="4"/>
  <c r="E67" i="4" s="1"/>
  <c r="F69" i="4" s="1"/>
  <c r="E66" i="4"/>
  <c r="F68" i="4" s="1"/>
  <c r="D66" i="4"/>
  <c r="C66" i="4"/>
  <c r="E65" i="4"/>
  <c r="F67" i="4" s="1"/>
  <c r="D65" i="4"/>
  <c r="C65" i="4"/>
  <c r="D64" i="4"/>
  <c r="C64" i="4"/>
  <c r="E64" i="4" s="1"/>
  <c r="F66" i="4" s="1"/>
  <c r="F63" i="4"/>
  <c r="E63" i="4"/>
  <c r="D63" i="4"/>
  <c r="C63" i="4"/>
  <c r="E62" i="4"/>
  <c r="F64" i="4" s="1"/>
  <c r="D62" i="4"/>
  <c r="C62" i="4"/>
  <c r="E61" i="4"/>
  <c r="F61" i="4" s="1"/>
  <c r="D61" i="4"/>
  <c r="C61" i="4"/>
  <c r="E60" i="4"/>
  <c r="F62" i="4" s="1"/>
  <c r="D60" i="4"/>
  <c r="C60" i="4"/>
  <c r="D59" i="4"/>
  <c r="C59" i="4"/>
  <c r="E59" i="4" s="1"/>
  <c r="F59" i="4" s="1"/>
  <c r="E58" i="4"/>
  <c r="F58" i="4" s="1"/>
  <c r="D58" i="4"/>
  <c r="C58" i="4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E18" i="9" l="1"/>
  <c r="AE19" i="9" s="1"/>
  <c r="AF17" i="9"/>
  <c r="T20" i="9"/>
  <c r="U18" i="9"/>
  <c r="U19" i="9" s="1"/>
  <c r="T18" i="9"/>
  <c r="T19" i="9" s="1"/>
  <c r="O18" i="9"/>
  <c r="O19" i="9" s="1"/>
  <c r="N18" i="9"/>
  <c r="N19" i="9" s="1"/>
  <c r="AG20" i="9"/>
  <c r="AF20" i="9"/>
  <c r="AH18" i="9"/>
  <c r="AH19" i="9" s="1"/>
  <c r="AG18" i="9"/>
  <c r="AG19" i="9" s="1"/>
  <c r="BA4" i="9"/>
  <c r="BF14" i="9"/>
  <c r="BI14" i="9"/>
  <c r="BE14" i="9"/>
  <c r="BG14" i="9"/>
  <c r="BI21" i="9"/>
  <c r="BP13" i="9"/>
  <c r="BD21" i="9"/>
  <c r="F75" i="4"/>
  <c r="BH4" i="9" s="1"/>
  <c r="BF21" i="9"/>
  <c r="BR13" i="9"/>
  <c r="F65" i="4"/>
  <c r="F76" i="4"/>
  <c r="BI4" i="9" s="1"/>
  <c r="BE21" i="9"/>
  <c r="BQ13" i="9"/>
  <c r="AW4" i="9"/>
  <c r="AY21" i="9"/>
  <c r="BK13" i="9"/>
  <c r="G9" i="8"/>
  <c r="F78" i="4"/>
  <c r="BB4" i="9"/>
  <c r="BC4" i="9"/>
  <c r="BE4" i="9"/>
  <c r="AX4" i="9"/>
  <c r="AY4" i="9"/>
  <c r="AZ4" i="9"/>
  <c r="F83" i="4"/>
  <c r="BC21" i="9"/>
  <c r="BO13" i="9"/>
  <c r="BA21" i="9"/>
  <c r="BM13" i="9"/>
  <c r="AZ21" i="9"/>
  <c r="BL13" i="9"/>
  <c r="BB21" i="9"/>
  <c r="BN13" i="9"/>
  <c r="AR3" i="9"/>
  <c r="AR4" i="9" s="1"/>
  <c r="AS3" i="9"/>
  <c r="AS4" i="9" s="1"/>
  <c r="D5" i="8"/>
  <c r="N32" i="9"/>
  <c r="BR9" i="9" s="1"/>
  <c r="M32" i="9"/>
  <c r="BQ9" i="9" s="1"/>
  <c r="L32" i="9"/>
  <c r="BP9" i="9" s="1"/>
  <c r="K32" i="9"/>
  <c r="BO9" i="9" s="1"/>
  <c r="J32" i="9"/>
  <c r="BN9" i="9" s="1"/>
  <c r="I32" i="9"/>
  <c r="BM9" i="9" s="1"/>
  <c r="H32" i="9"/>
  <c r="BL9" i="9" s="1"/>
  <c r="G32" i="9"/>
  <c r="BK9" i="9" s="1"/>
  <c r="F32" i="9"/>
  <c r="BJ9" i="9" s="1"/>
  <c r="E32" i="9"/>
  <c r="D32" i="9"/>
  <c r="C32" i="9"/>
  <c r="BH14" i="9"/>
  <c r="N31" i="9"/>
  <c r="BR8" i="9" s="1"/>
  <c r="M31" i="9"/>
  <c r="BQ8" i="9" s="1"/>
  <c r="L31" i="9"/>
  <c r="BP8" i="9" s="1"/>
  <c r="K31" i="9"/>
  <c r="BO8" i="9" s="1"/>
  <c r="J31" i="9"/>
  <c r="BN8" i="9" s="1"/>
  <c r="I31" i="9"/>
  <c r="BM8" i="9" s="1"/>
  <c r="H31" i="9"/>
  <c r="BL8" i="9" s="1"/>
  <c r="G31" i="9"/>
  <c r="BK8" i="9" s="1"/>
  <c r="F31" i="9"/>
  <c r="BJ8" i="9" s="1"/>
  <c r="E31" i="9"/>
  <c r="D31" i="9"/>
  <c r="C31" i="9"/>
  <c r="AI3" i="9"/>
  <c r="AI4" i="9" s="1"/>
  <c r="C35" i="9"/>
  <c r="F60" i="4"/>
  <c r="AG4" i="9" s="1"/>
  <c r="F35" i="9"/>
  <c r="BJ3" i="9" s="1"/>
  <c r="AL3" i="9"/>
  <c r="AL4" i="9" s="1"/>
  <c r="G35" i="9"/>
  <c r="H35" i="9"/>
  <c r="I35" i="9"/>
  <c r="AO3" i="9"/>
  <c r="AO4" i="9" s="1"/>
  <c r="F33" i="9"/>
  <c r="BJ12" i="9" s="1"/>
  <c r="E33" i="9"/>
  <c r="D33" i="9"/>
  <c r="C33" i="9"/>
  <c r="N33" i="9"/>
  <c r="BR12" i="9" s="1"/>
  <c r="M33" i="9"/>
  <c r="BQ12" i="9" s="1"/>
  <c r="L33" i="9"/>
  <c r="BP12" i="9" s="1"/>
  <c r="K33" i="9"/>
  <c r="BO12" i="9" s="1"/>
  <c r="J33" i="9"/>
  <c r="BN12" i="9" s="1"/>
  <c r="I33" i="9"/>
  <c r="BM12" i="9" s="1"/>
  <c r="H33" i="9"/>
  <c r="BL12" i="9" s="1"/>
  <c r="G33" i="9"/>
  <c r="BK12" i="9" s="1"/>
  <c r="J35" i="9"/>
  <c r="AP3" i="9"/>
  <c r="AP4" i="9" s="1"/>
  <c r="K35" i="9"/>
  <c r="AJ3" i="9"/>
  <c r="AJ4" i="9" s="1"/>
  <c r="AK3" i="9"/>
  <c r="AK4" i="9" s="1"/>
  <c r="AM3" i="9"/>
  <c r="AM4" i="9" s="1"/>
  <c r="N35" i="9"/>
  <c r="AT3" i="9"/>
  <c r="AT4" i="9" s="1"/>
  <c r="AN3" i="9"/>
  <c r="AN4" i="9" s="1"/>
  <c r="AQ3" i="9"/>
  <c r="AQ4" i="9" s="1"/>
  <c r="AH4" i="9" l="1"/>
  <c r="AF4" i="9"/>
  <c r="D6" i="8"/>
  <c r="BJ21" i="9"/>
  <c r="BJ10" i="9"/>
  <c r="BJ14" i="9" s="1"/>
  <c r="BK21" i="9"/>
  <c r="BK10" i="9"/>
  <c r="BK14" i="9" s="1"/>
  <c r="BL21" i="9"/>
  <c r="BL10" i="9"/>
  <c r="BL14" i="9" s="1"/>
  <c r="BN21" i="9"/>
  <c r="BN10" i="9"/>
  <c r="BN14" i="9" s="1"/>
  <c r="BO21" i="9"/>
  <c r="BO10" i="9"/>
  <c r="BO14" i="9" s="1"/>
  <c r="BP21" i="9"/>
  <c r="BP10" i="9"/>
  <c r="BP14" i="9" s="1"/>
  <c r="BQ21" i="9"/>
  <c r="BQ10" i="9"/>
  <c r="BQ14" i="9" s="1"/>
  <c r="G10" i="8"/>
  <c r="BR10" i="9"/>
  <c r="BR14" i="9" s="1"/>
  <c r="BR21" i="9"/>
  <c r="BM21" i="9"/>
  <c r="BM10" i="9"/>
  <c r="BM14" i="9" s="1"/>
  <c r="BK3" i="9"/>
  <c r="BJ4" i="9"/>
  <c r="BJ6" i="9" s="1"/>
  <c r="G11" i="8" l="1"/>
  <c r="BK16" i="9"/>
  <c r="BK4" i="9"/>
  <c r="BK6" i="9" s="1"/>
  <c r="BL3" i="9"/>
  <c r="D7" i="8"/>
  <c r="D8" i="8" l="1"/>
  <c r="BK20" i="9"/>
  <c r="BK7" i="9"/>
  <c r="BL16" i="9"/>
  <c r="BK17" i="9"/>
  <c r="BM3" i="9"/>
  <c r="BL4" i="9"/>
  <c r="BL6" i="9" s="1"/>
  <c r="G12" i="8"/>
  <c r="G13" i="8" l="1"/>
  <c r="BN3" i="9"/>
  <c r="BM4" i="9"/>
  <c r="BM6" i="9" s="1"/>
  <c r="BL18" i="9"/>
  <c r="BL20" i="9"/>
  <c r="BL7" i="9"/>
  <c r="BL19" i="9" s="1"/>
  <c r="BM16" i="9"/>
  <c r="BL17" i="9"/>
  <c r="D9" i="8"/>
  <c r="D10" i="8" l="1"/>
  <c r="BM20" i="9"/>
  <c r="BM18" i="9"/>
  <c r="BN16" i="9"/>
  <c r="BM7" i="9"/>
  <c r="BM19" i="9" s="1"/>
  <c r="BM17" i="9"/>
  <c r="BN4" i="9"/>
  <c r="BN6" i="9" s="1"/>
  <c r="BO3" i="9"/>
  <c r="G14" i="8"/>
  <c r="G15" i="8" l="1"/>
  <c r="BP3" i="9"/>
  <c r="BO4" i="9"/>
  <c r="BO6" i="9" s="1"/>
  <c r="BN17" i="9"/>
  <c r="BN7" i="9"/>
  <c r="BO16" i="9"/>
  <c r="BO18" i="9" s="1"/>
  <c r="BN18" i="9"/>
  <c r="BN20" i="9"/>
  <c r="D11" i="8"/>
  <c r="BN19" i="9" l="1"/>
  <c r="BQ3" i="9"/>
  <c r="BP4" i="9"/>
  <c r="BP6" i="9" s="1"/>
  <c r="D12" i="8"/>
  <c r="BO7" i="9"/>
  <c r="BO19" i="9" s="1"/>
  <c r="BP16" i="9"/>
  <c r="BP18" i="9" s="1"/>
  <c r="BO17" i="9"/>
  <c r="G16" i="8"/>
  <c r="D13" i="8" l="1"/>
  <c r="BP7" i="9"/>
  <c r="BP19" i="9" s="1"/>
  <c r="BQ16" i="9"/>
  <c r="BQ18" i="9" s="1"/>
  <c r="BP17" i="9"/>
  <c r="G17" i="8"/>
  <c r="BQ4" i="9"/>
  <c r="BQ6" i="9" s="1"/>
  <c r="BR3" i="9"/>
  <c r="BR4" i="9" s="1"/>
  <c r="BR6" i="9" s="1"/>
  <c r="BQ17" i="9" l="1"/>
  <c r="BR16" i="9"/>
  <c r="BR18" i="9" s="1"/>
  <c r="BQ7" i="9"/>
  <c r="BQ19" i="9" s="1"/>
  <c r="G18" i="8"/>
  <c r="BR17" i="9"/>
  <c r="BR7" i="9"/>
  <c r="BR19" i="9" s="1"/>
  <c r="D14" i="8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H3" i="8" l="1"/>
  <c r="D65" i="8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H5" i="8"/>
  <c r="H4" i="8"/>
  <c r="H7" i="8"/>
  <c r="H6" i="8"/>
  <c r="H8" i="8"/>
  <c r="H9" i="8"/>
  <c r="H10" i="8"/>
  <c r="H11" i="8"/>
  <c r="H12" i="8"/>
  <c r="H13" i="8"/>
  <c r="H14" i="8"/>
  <c r="H15" i="8"/>
  <c r="H16" i="8"/>
  <c r="H17" i="8"/>
  <c r="H18" i="8"/>
  <c r="G19" i="8"/>
  <c r="G20" i="8" l="1"/>
  <c r="H19" i="8"/>
  <c r="AO3" i="8"/>
  <c r="Z5" i="9" s="1"/>
  <c r="Z6" i="9" s="1"/>
  <c r="AP3" i="8"/>
  <c r="AA5" i="9" s="1"/>
  <c r="AA6" i="9" s="1"/>
  <c r="BJ3" i="8"/>
  <c r="AU5" i="9" s="1"/>
  <c r="AU6" i="9" s="1"/>
  <c r="BC3" i="8"/>
  <c r="AN5" i="9" s="1"/>
  <c r="AN6" i="9" s="1"/>
  <c r="BK3" i="8"/>
  <c r="AV5" i="9" s="1"/>
  <c r="AV6" i="9" s="1"/>
  <c r="AK3" i="8"/>
  <c r="V5" i="9" s="1"/>
  <c r="V6" i="9" s="1"/>
  <c r="BA3" i="8"/>
  <c r="AL5" i="9" s="1"/>
  <c r="AL6" i="9" s="1"/>
  <c r="N3" i="8"/>
  <c r="AN3" i="8"/>
  <c r="Y5" i="9" s="1"/>
  <c r="Y6" i="9" s="1"/>
  <c r="AY3" i="8"/>
  <c r="AJ5" i="9" s="1"/>
  <c r="AJ6" i="9" s="1"/>
  <c r="AV3" i="8"/>
  <c r="AG5" i="9" s="1"/>
  <c r="AG6" i="9" s="1"/>
  <c r="AL3" i="8"/>
  <c r="W5" i="9" s="1"/>
  <c r="W6" i="9" s="1"/>
  <c r="P3" i="8"/>
  <c r="AH3" i="8"/>
  <c r="S5" i="9" s="1"/>
  <c r="S6" i="9" s="1"/>
  <c r="AA3" i="8"/>
  <c r="L5" i="9" s="1"/>
  <c r="L6" i="9" s="1"/>
  <c r="V3" i="8"/>
  <c r="G5" i="9" s="1"/>
  <c r="G6" i="9" s="1"/>
  <c r="BH3" i="8"/>
  <c r="AS5" i="9" s="1"/>
  <c r="AS6" i="9" s="1"/>
  <c r="AR3" i="8"/>
  <c r="AC5" i="9" s="1"/>
  <c r="AC6" i="9" s="1"/>
  <c r="AM3" i="8"/>
  <c r="X5" i="9" s="1"/>
  <c r="X6" i="9" s="1"/>
  <c r="X7" i="9" s="1"/>
  <c r="BI3" i="8"/>
  <c r="AT5" i="9" s="1"/>
  <c r="AT6" i="9" s="1"/>
  <c r="BB3" i="8"/>
  <c r="AM5" i="9" s="1"/>
  <c r="AM6" i="9" s="1"/>
  <c r="T3" i="8"/>
  <c r="E5" i="9" s="1"/>
  <c r="E6" i="9" s="1"/>
  <c r="E7" i="9" s="1"/>
  <c r="U3" i="8"/>
  <c r="F5" i="9" s="1"/>
  <c r="F6" i="9" s="1"/>
  <c r="AZ3" i="8"/>
  <c r="AK5" i="9" s="1"/>
  <c r="AK6" i="9" s="1"/>
  <c r="O3" i="8"/>
  <c r="AI3" i="8"/>
  <c r="T5" i="9" s="1"/>
  <c r="T6" i="9" s="1"/>
  <c r="BG3" i="8"/>
  <c r="AR5" i="9" s="1"/>
  <c r="AR6" i="9" s="1"/>
  <c r="BN3" i="8"/>
  <c r="AY5" i="9" s="1"/>
  <c r="AY6" i="9" s="1"/>
  <c r="BD3" i="8"/>
  <c r="AO5" i="9" s="1"/>
  <c r="AO6" i="9" s="1"/>
  <c r="L3" i="8"/>
  <c r="M3" i="8"/>
  <c r="S3" i="8"/>
  <c r="D5" i="9" s="1"/>
  <c r="D6" i="9" s="1"/>
  <c r="AJ3" i="8"/>
  <c r="U5" i="9" s="1"/>
  <c r="U6" i="9" s="1"/>
  <c r="BE3" i="8"/>
  <c r="AP5" i="9" s="1"/>
  <c r="AP6" i="9" s="1"/>
  <c r="AQ3" i="8"/>
  <c r="AB5" i="9" s="1"/>
  <c r="AB6" i="9" s="1"/>
  <c r="AT3" i="8"/>
  <c r="AE5" i="9" s="1"/>
  <c r="AE6" i="9" s="1"/>
  <c r="R3" i="8"/>
  <c r="C5" i="9" s="1"/>
  <c r="C6" i="9" s="1"/>
  <c r="AF3" i="8"/>
  <c r="Q5" i="9" s="1"/>
  <c r="Q6" i="9" s="1"/>
  <c r="AG3" i="8"/>
  <c r="R5" i="9" s="1"/>
  <c r="R6" i="9" s="1"/>
  <c r="AS3" i="8"/>
  <c r="AD5" i="9" s="1"/>
  <c r="AD6" i="9" s="1"/>
  <c r="AW3" i="8"/>
  <c r="AH5" i="9" s="1"/>
  <c r="AH6" i="9" s="1"/>
  <c r="Q3" i="8"/>
  <c r="B5" i="9" s="1"/>
  <c r="B6" i="9" s="1"/>
  <c r="AU3" i="8"/>
  <c r="AF5" i="9" s="1"/>
  <c r="AF6" i="9" s="1"/>
  <c r="K3" i="8"/>
  <c r="AX3" i="8"/>
  <c r="AI5" i="9" s="1"/>
  <c r="AI6" i="9" s="1"/>
  <c r="BF3" i="8"/>
  <c r="AQ5" i="9" s="1"/>
  <c r="AQ6" i="9" s="1"/>
  <c r="AD3" i="8"/>
  <c r="O5" i="9" s="1"/>
  <c r="O6" i="9" s="1"/>
  <c r="Y3" i="8"/>
  <c r="J5" i="9" s="1"/>
  <c r="J6" i="9" s="1"/>
  <c r="BS3" i="8"/>
  <c r="BD5" i="9" s="1"/>
  <c r="AC3" i="8"/>
  <c r="N5" i="9" s="1"/>
  <c r="N6" i="9" s="1"/>
  <c r="AE3" i="8"/>
  <c r="P5" i="9" s="1"/>
  <c r="P6" i="9" s="1"/>
  <c r="BP3" i="8"/>
  <c r="BA5" i="9" s="1"/>
  <c r="BA6" i="9" s="1"/>
  <c r="X3" i="8"/>
  <c r="I5" i="9" s="1"/>
  <c r="I6" i="9" s="1"/>
  <c r="BQ3" i="8"/>
  <c r="BB5" i="9" s="1"/>
  <c r="BB6" i="9" s="1"/>
  <c r="BO3" i="8"/>
  <c r="AZ5" i="9" s="1"/>
  <c r="AZ6" i="9" s="1"/>
  <c r="Z3" i="8"/>
  <c r="K5" i="9" s="1"/>
  <c r="K6" i="9" s="1"/>
  <c r="K7" i="9" s="1"/>
  <c r="BL3" i="8"/>
  <c r="AW5" i="9" s="1"/>
  <c r="AW6" i="9" s="1"/>
  <c r="W3" i="8"/>
  <c r="H5" i="9" s="1"/>
  <c r="H6" i="9" s="1"/>
  <c r="H7" i="9" s="1"/>
  <c r="BR3" i="8"/>
  <c r="BC5" i="9" s="1"/>
  <c r="BC6" i="9" s="1"/>
  <c r="BM3" i="8"/>
  <c r="AX5" i="9" s="1"/>
  <c r="AX6" i="9" s="1"/>
  <c r="AB3" i="8"/>
  <c r="M5" i="9" s="1"/>
  <c r="M6" i="9" s="1"/>
  <c r="I7" i="9" l="1"/>
  <c r="O7" i="9"/>
  <c r="AE7" i="9"/>
  <c r="U7" i="9"/>
  <c r="M7" i="9"/>
  <c r="T7" i="9"/>
  <c r="G7" i="9"/>
  <c r="L7" i="9"/>
  <c r="F7" i="9"/>
  <c r="AC7" i="9"/>
  <c r="N7" i="9"/>
  <c r="S7" i="9"/>
  <c r="W7" i="9"/>
  <c r="J7" i="9"/>
  <c r="P7" i="9"/>
  <c r="Y7" i="9"/>
  <c r="AD7" i="9"/>
  <c r="V7" i="9"/>
  <c r="C7" i="9"/>
  <c r="AB7" i="9"/>
  <c r="AA7" i="9"/>
  <c r="R7" i="9"/>
  <c r="Q7" i="9"/>
  <c r="Z7" i="9"/>
  <c r="D7" i="9"/>
  <c r="AP16" i="9"/>
  <c r="AP17" i="9" s="1"/>
  <c r="AO7" i="9"/>
  <c r="AX7" i="9"/>
  <c r="AY16" i="9"/>
  <c r="AY17" i="9" s="1"/>
  <c r="AZ16" i="9"/>
  <c r="AZ17" i="9" s="1"/>
  <c r="AY7" i="9"/>
  <c r="BC7" i="9"/>
  <c r="BD16" i="9"/>
  <c r="AS16" i="9"/>
  <c r="AR7" i="9"/>
  <c r="AZ7" i="9"/>
  <c r="BA16" i="9"/>
  <c r="BB7" i="9"/>
  <c r="BC16" i="9"/>
  <c r="AW7" i="9"/>
  <c r="AX16" i="9"/>
  <c r="AL16" i="9"/>
  <c r="AL17" i="9" s="1"/>
  <c r="AK7" i="9"/>
  <c r="AN16" i="9"/>
  <c r="AM7" i="9"/>
  <c r="BA7" i="9"/>
  <c r="BB16" i="9"/>
  <c r="AT7" i="9"/>
  <c r="AU16" i="9"/>
  <c r="AU17" i="9" s="1"/>
  <c r="BE5" i="9"/>
  <c r="BD6" i="9"/>
  <c r="AS7" i="9"/>
  <c r="AT16" i="9"/>
  <c r="AQ7" i="9"/>
  <c r="AR16" i="9"/>
  <c r="AR17" i="9" s="1"/>
  <c r="AI7" i="9"/>
  <c r="AJ16" i="9"/>
  <c r="AF7" i="9"/>
  <c r="AG7" i="9"/>
  <c r="AK16" i="9"/>
  <c r="AK17" i="9" s="1"/>
  <c r="AJ17" i="9"/>
  <c r="AJ7" i="9"/>
  <c r="AI16" i="9"/>
  <c r="AH7" i="9"/>
  <c r="AM16" i="9"/>
  <c r="AM17" i="9" s="1"/>
  <c r="AL7" i="9"/>
  <c r="AV7" i="9"/>
  <c r="AW16" i="9"/>
  <c r="AW17" i="9" s="1"/>
  <c r="AO16" i="9"/>
  <c r="AN7" i="9"/>
  <c r="AU7" i="9"/>
  <c r="AV16" i="9"/>
  <c r="AP7" i="9"/>
  <c r="AQ16" i="9"/>
  <c r="G21" i="8"/>
  <c r="H20" i="8"/>
  <c r="BB20" i="9" l="1"/>
  <c r="BB18" i="9"/>
  <c r="AL18" i="9"/>
  <c r="AL19" i="9" s="1"/>
  <c r="AL20" i="9"/>
  <c r="AI20" i="9"/>
  <c r="AI18" i="9"/>
  <c r="AI19" i="9" s="1"/>
  <c r="AX18" i="9"/>
  <c r="AX19" i="9" s="1"/>
  <c r="AX20" i="9"/>
  <c r="AK18" i="9"/>
  <c r="AK19" i="9" s="1"/>
  <c r="AK20" i="9"/>
  <c r="BC18" i="9"/>
  <c r="BC19" i="9" s="1"/>
  <c r="BC20" i="9"/>
  <c r="AM20" i="9"/>
  <c r="AM18" i="9"/>
  <c r="AM19" i="9" s="1"/>
  <c r="BB19" i="9"/>
  <c r="BB17" i="9"/>
  <c r="BA20" i="9"/>
  <c r="BA18" i="9"/>
  <c r="BA19" i="9" s="1"/>
  <c r="AZ19" i="9"/>
  <c r="AI17" i="9"/>
  <c r="AR19" i="9"/>
  <c r="AJ20" i="9"/>
  <c r="AJ18" i="9"/>
  <c r="AJ19" i="9" s="1"/>
  <c r="AS18" i="9"/>
  <c r="AS19" i="9" s="1"/>
  <c r="AS20" i="9"/>
  <c r="G22" i="8"/>
  <c r="H21" i="8"/>
  <c r="AQ18" i="9"/>
  <c r="AQ19" i="9" s="1"/>
  <c r="AQ20" i="9"/>
  <c r="AR18" i="9"/>
  <c r="AR20" i="9"/>
  <c r="BC17" i="9"/>
  <c r="BD20" i="9"/>
  <c r="BD18" i="9"/>
  <c r="AQ17" i="9"/>
  <c r="AS17" i="9"/>
  <c r="AV20" i="9"/>
  <c r="AV18" i="9"/>
  <c r="AV19" i="9" s="1"/>
  <c r="AT18" i="9"/>
  <c r="AT19" i="9" s="1"/>
  <c r="AT20" i="9"/>
  <c r="AZ20" i="9"/>
  <c r="AZ18" i="9"/>
  <c r="AW20" i="9"/>
  <c r="AW18" i="9"/>
  <c r="AW19" i="9" s="1"/>
  <c r="AN20" i="9"/>
  <c r="AN18" i="9"/>
  <c r="AN19" i="9" s="1"/>
  <c r="BD7" i="9"/>
  <c r="BD19" i="9" s="1"/>
  <c r="BE16" i="9"/>
  <c r="BD17" i="9"/>
  <c r="AX17" i="9"/>
  <c r="AN17" i="9"/>
  <c r="BF5" i="9"/>
  <c r="BE6" i="9"/>
  <c r="AY20" i="9"/>
  <c r="AY18" i="9"/>
  <c r="AY19" i="9" s="1"/>
  <c r="AO18" i="9"/>
  <c r="AO19" i="9" s="1"/>
  <c r="AO20" i="9"/>
  <c r="AT17" i="9"/>
  <c r="AU18" i="9"/>
  <c r="AU19" i="9" s="1"/>
  <c r="AU20" i="9"/>
  <c r="AO17" i="9"/>
  <c r="AV17" i="9"/>
  <c r="BA17" i="9"/>
  <c r="AP18" i="9"/>
  <c r="AP19" i="9" s="1"/>
  <c r="AP20" i="9"/>
  <c r="BE20" i="9" l="1"/>
  <c r="BE18" i="9"/>
  <c r="BE17" i="9"/>
  <c r="BE7" i="9"/>
  <c r="BE19" i="9" s="1"/>
  <c r="BF16" i="9"/>
  <c r="BG5" i="9"/>
  <c r="BF6" i="9"/>
  <c r="G23" i="8"/>
  <c r="H22" i="8"/>
  <c r="G24" i="8" l="1"/>
  <c r="H23" i="8"/>
  <c r="BG16" i="9"/>
  <c r="BF17" i="9"/>
  <c r="BF7" i="9"/>
  <c r="BH5" i="9"/>
  <c r="BG6" i="9"/>
  <c r="BF20" i="9"/>
  <c r="BF18" i="9"/>
  <c r="BF19" i="9" l="1"/>
  <c r="BG18" i="9"/>
  <c r="BG20" i="9"/>
  <c r="BG7" i="9"/>
  <c r="BG19" i="9" s="1"/>
  <c r="BH16" i="9"/>
  <c r="BG17" i="9"/>
  <c r="BI5" i="9"/>
  <c r="BI6" i="9" s="1"/>
  <c r="BH6" i="9"/>
  <c r="G25" i="8"/>
  <c r="H24" i="8"/>
  <c r="BH20" i="9" l="1"/>
  <c r="BH18" i="9"/>
  <c r="BH7" i="9"/>
  <c r="BI16" i="9"/>
  <c r="BH17" i="9"/>
  <c r="BJ16" i="9"/>
  <c r="BI7" i="9"/>
  <c r="BI17" i="9"/>
  <c r="BJ7" i="9"/>
  <c r="H25" i="8"/>
  <c r="G26" i="8"/>
  <c r="H26" i="8" l="1"/>
  <c r="G27" i="8"/>
  <c r="BJ18" i="9"/>
  <c r="BJ20" i="9"/>
  <c r="BJ17" i="9"/>
  <c r="BK18" i="9"/>
  <c r="BK19" i="9" s="1"/>
  <c r="BH19" i="9"/>
  <c r="BJ19" i="9"/>
  <c r="BI20" i="9"/>
  <c r="BI18" i="9"/>
  <c r="BI19" i="9" s="1"/>
  <c r="H27" i="8" l="1"/>
  <c r="G28" i="8"/>
  <c r="G29" i="8" l="1"/>
  <c r="H28" i="8"/>
  <c r="G30" i="8" l="1"/>
  <c r="H29" i="8"/>
  <c r="H30" i="8" l="1"/>
  <c r="G31" i="8"/>
  <c r="H31" i="8" l="1"/>
  <c r="G32" i="8"/>
  <c r="G33" i="8" l="1"/>
  <c r="H32" i="8"/>
  <c r="G34" i="8" l="1"/>
  <c r="H33" i="8"/>
  <c r="G35" i="8" l="1"/>
  <c r="H34" i="8"/>
  <c r="G36" i="8" l="1"/>
  <c r="H35" i="8"/>
  <c r="G37" i="8" l="1"/>
  <c r="H36" i="8"/>
  <c r="G38" i="8" l="1"/>
  <c r="H37" i="8"/>
  <c r="H38" i="8" l="1"/>
  <c r="G39" i="8"/>
  <c r="G40" i="8" l="1"/>
  <c r="H39" i="8"/>
  <c r="G41" i="8" l="1"/>
  <c r="H40" i="8"/>
  <c r="G42" i="8" l="1"/>
  <c r="H41" i="8"/>
  <c r="H42" i="8" l="1"/>
  <c r="G43" i="8"/>
  <c r="G44" i="8" l="1"/>
  <c r="H43" i="8"/>
  <c r="H44" i="8" l="1"/>
  <c r="G45" i="8"/>
  <c r="G46" i="8" l="1"/>
  <c r="H45" i="8"/>
  <c r="G47" i="8" l="1"/>
  <c r="H46" i="8"/>
  <c r="G48" i="8" l="1"/>
  <c r="H47" i="8"/>
  <c r="G49" i="8" l="1"/>
  <c r="H48" i="8"/>
  <c r="G50" i="8" l="1"/>
  <c r="H49" i="8"/>
  <c r="H50" i="8" l="1"/>
  <c r="G51" i="8"/>
  <c r="G52" i="8" l="1"/>
  <c r="H51" i="8"/>
  <c r="G53" i="8" l="1"/>
  <c r="H52" i="8"/>
  <c r="G54" i="8" l="1"/>
  <c r="H53" i="8"/>
  <c r="G55" i="8" l="1"/>
  <c r="H54" i="8"/>
  <c r="G56" i="8" l="1"/>
  <c r="H55" i="8"/>
  <c r="G57" i="8" l="1"/>
  <c r="H56" i="8"/>
  <c r="H57" i="8" l="1"/>
  <c r="G58" i="8"/>
  <c r="H58" i="8" l="1"/>
  <c r="G59" i="8"/>
  <c r="H59" i="8" l="1"/>
  <c r="G60" i="8"/>
  <c r="G61" i="8" l="1"/>
  <c r="H60" i="8"/>
  <c r="G62" i="8" l="1"/>
  <c r="H61" i="8"/>
  <c r="H62" i="8" l="1"/>
  <c r="G63" i="8"/>
  <c r="H63" i="8" l="1"/>
  <c r="G64" i="8"/>
  <c r="G65" i="8" l="1"/>
  <c r="H64" i="8"/>
  <c r="G66" i="8" l="1"/>
  <c r="H65" i="8"/>
  <c r="G67" i="8" l="1"/>
  <c r="H66" i="8"/>
  <c r="G68" i="8" l="1"/>
  <c r="H67" i="8"/>
  <c r="G69" i="8" l="1"/>
  <c r="H68" i="8"/>
  <c r="G70" i="8" l="1"/>
  <c r="H69" i="8"/>
  <c r="H70" i="8" l="1"/>
  <c r="G71" i="8"/>
  <c r="G72" i="8" l="1"/>
  <c r="H71" i="8"/>
  <c r="G73" i="8" l="1"/>
  <c r="H72" i="8"/>
  <c r="G74" i="8" l="1"/>
  <c r="H73" i="8"/>
  <c r="G75" i="8" l="1"/>
  <c r="H74" i="8"/>
  <c r="G76" i="8" l="1"/>
  <c r="H75" i="8"/>
  <c r="H76" i="8" l="1"/>
  <c r="G77" i="8"/>
  <c r="G78" i="8" l="1"/>
  <c r="H77" i="8"/>
  <c r="G79" i="8" l="1"/>
  <c r="H78" i="8"/>
  <c r="G80" i="8" l="1"/>
  <c r="H79" i="8"/>
  <c r="G81" i="8" l="1"/>
  <c r="H80" i="8"/>
  <c r="G82" i="8" l="1"/>
  <c r="H81" i="8"/>
  <c r="H82" i="8" l="1"/>
  <c r="G83" i="8"/>
  <c r="G84" i="8" l="1"/>
  <c r="H83" i="8"/>
  <c r="G85" i="8" l="1"/>
  <c r="H84" i="8"/>
  <c r="G86" i="8" l="1"/>
  <c r="H85" i="8"/>
  <c r="G87" i="8" l="1"/>
  <c r="H86" i="8"/>
  <c r="G88" i="8" l="1"/>
  <c r="H87" i="8"/>
  <c r="G89" i="8" l="1"/>
  <c r="H88" i="8"/>
  <c r="H89" i="8" l="1"/>
  <c r="G90" i="8"/>
  <c r="H90" i="8" l="1"/>
  <c r="G91" i="8"/>
  <c r="H91" i="8" l="1"/>
  <c r="G92" i="8"/>
  <c r="G93" i="8" l="1"/>
  <c r="H92" i="8"/>
  <c r="G94" i="8" l="1"/>
  <c r="H93" i="8"/>
  <c r="H94" i="8" l="1"/>
  <c r="G95" i="8"/>
  <c r="H95" i="8" l="1"/>
  <c r="G96" i="8"/>
  <c r="G97" i="8" l="1"/>
  <c r="H96" i="8"/>
  <c r="G98" i="8" l="1"/>
  <c r="H97" i="8"/>
  <c r="H98" i="8" l="1"/>
  <c r="G99" i="8"/>
  <c r="G100" i="8" l="1"/>
  <c r="H99" i="8"/>
  <c r="G101" i="8" l="1"/>
  <c r="H100" i="8"/>
  <c r="G102" i="8" l="1"/>
  <c r="H101" i="8"/>
  <c r="H102" i="8" l="1"/>
  <c r="G103" i="8"/>
  <c r="G104" i="8" l="1"/>
  <c r="H103" i="8"/>
  <c r="G105" i="8" l="1"/>
  <c r="H104" i="8"/>
  <c r="G106" i="8" l="1"/>
  <c r="H105" i="8"/>
  <c r="G107" i="8" l="1"/>
  <c r="H106" i="8"/>
  <c r="G108" i="8" l="1"/>
  <c r="H107" i="8"/>
  <c r="H108" i="8" l="1"/>
  <c r="G109" i="8"/>
  <c r="G110" i="8" l="1"/>
  <c r="H109" i="8"/>
  <c r="G111" i="8" l="1"/>
  <c r="H110" i="8"/>
  <c r="G112" i="8" l="1"/>
  <c r="H111" i="8"/>
  <c r="G113" i="8" l="1"/>
  <c r="H112" i="8"/>
  <c r="H113" i="8" l="1"/>
  <c r="G114" i="8"/>
  <c r="G115" i="8" l="1"/>
  <c r="H114" i="8"/>
  <c r="H115" i="8" l="1"/>
  <c r="G116" i="8"/>
  <c r="G117" i="8" l="1"/>
  <c r="H116" i="8"/>
  <c r="H117" i="8" l="1"/>
  <c r="G118" i="8"/>
  <c r="G119" i="8" l="1"/>
  <c r="H118" i="8"/>
  <c r="H119" i="8" l="1"/>
  <c r="G120" i="8"/>
  <c r="G121" i="8" l="1"/>
  <c r="H120" i="8"/>
  <c r="G122" i="8" l="1"/>
  <c r="H121" i="8"/>
  <c r="G123" i="8" l="1"/>
  <c r="H122" i="8"/>
  <c r="G124" i="8" l="1"/>
  <c r="H123" i="8"/>
  <c r="H124" i="8" l="1"/>
  <c r="G125" i="8"/>
  <c r="G126" i="8" l="1"/>
  <c r="H125" i="8"/>
  <c r="G127" i="8" l="1"/>
  <c r="H126" i="8"/>
  <c r="G128" i="8" l="1"/>
  <c r="H127" i="8"/>
  <c r="G129" i="8" l="1"/>
  <c r="H128" i="8"/>
  <c r="H129" i="8" l="1"/>
  <c r="G130" i="8"/>
  <c r="G131" i="8" l="1"/>
  <c r="H130" i="8"/>
  <c r="H131" i="8" l="1"/>
  <c r="G132" i="8"/>
  <c r="G133" i="8" l="1"/>
  <c r="H132" i="8"/>
  <c r="H133" i="8" l="1"/>
  <c r="G134" i="8"/>
  <c r="G135" i="8" l="1"/>
  <c r="H134" i="8"/>
  <c r="H135" i="8" l="1"/>
  <c r="G136" i="8"/>
  <c r="G137" i="8" l="1"/>
  <c r="H136" i="8"/>
  <c r="H137" i="8" l="1"/>
  <c r="G138" i="8"/>
  <c r="G139" i="8" l="1"/>
  <c r="H138" i="8"/>
  <c r="G140" i="8" l="1"/>
  <c r="H139" i="8"/>
  <c r="H140" i="8" l="1"/>
  <c r="G141" i="8"/>
  <c r="G142" i="8" l="1"/>
  <c r="H141" i="8"/>
  <c r="G143" i="8" l="1"/>
  <c r="H142" i="8"/>
  <c r="G144" i="8" l="1"/>
  <c r="H143" i="8"/>
  <c r="G145" i="8" l="1"/>
  <c r="H144" i="8"/>
  <c r="H145" i="8" l="1"/>
  <c r="G146" i="8"/>
  <c r="G147" i="8" l="1"/>
  <c r="H146" i="8"/>
  <c r="H147" i="8" l="1"/>
  <c r="G148" i="8"/>
  <c r="G149" i="8" l="1"/>
  <c r="H148" i="8"/>
  <c r="H149" i="8" l="1"/>
  <c r="G150" i="8"/>
  <c r="G151" i="8" l="1"/>
  <c r="H150" i="8"/>
  <c r="H151" i="8" l="1"/>
  <c r="G152" i="8"/>
  <c r="G153" i="8" l="1"/>
  <c r="H152" i="8"/>
  <c r="G154" i="8" l="1"/>
  <c r="H153" i="8"/>
  <c r="G155" i="8" l="1"/>
  <c r="H154" i="8"/>
  <c r="G156" i="8" l="1"/>
  <c r="H155" i="8"/>
  <c r="H156" i="8" l="1"/>
  <c r="G157" i="8"/>
  <c r="G158" i="8" l="1"/>
  <c r="H157" i="8"/>
  <c r="G159" i="8" l="1"/>
  <c r="H158" i="8"/>
  <c r="G160" i="8" l="1"/>
  <c r="H159" i="8"/>
  <c r="G161" i="8" l="1"/>
  <c r="H160" i="8"/>
  <c r="H161" i="8" l="1"/>
  <c r="G162" i="8"/>
  <c r="G163" i="8" l="1"/>
  <c r="H162" i="8"/>
  <c r="H163" i="8" l="1"/>
  <c r="G164" i="8"/>
  <c r="G165" i="8" l="1"/>
  <c r="H164" i="8"/>
  <c r="H165" i="8" l="1"/>
  <c r="G166" i="8"/>
  <c r="G167" i="8" l="1"/>
  <c r="H166" i="8"/>
  <c r="H167" i="8" l="1"/>
  <c r="G168" i="8"/>
  <c r="G169" i="8" l="1"/>
  <c r="H168" i="8"/>
  <c r="G170" i="8" l="1"/>
  <c r="H169" i="8"/>
  <c r="G171" i="8" l="1"/>
  <c r="H170" i="8"/>
  <c r="G172" i="8" l="1"/>
  <c r="H171" i="8"/>
  <c r="H172" i="8" l="1"/>
  <c r="G173" i="8"/>
  <c r="G174" i="8" l="1"/>
  <c r="H173" i="8"/>
  <c r="G175" i="8" l="1"/>
  <c r="H174" i="8"/>
  <c r="G176" i="8" l="1"/>
  <c r="H175" i="8"/>
  <c r="G177" i="8" l="1"/>
  <c r="H176" i="8"/>
  <c r="H177" i="8" l="1"/>
  <c r="G178" i="8"/>
  <c r="G179" i="8" l="1"/>
  <c r="H178" i="8"/>
  <c r="H179" i="8" l="1"/>
  <c r="G180" i="8"/>
  <c r="G181" i="8" l="1"/>
  <c r="H180" i="8"/>
  <c r="H181" i="8" l="1"/>
  <c r="G182" i="8"/>
  <c r="G183" i="8" l="1"/>
  <c r="H182" i="8"/>
  <c r="H183" i="8" l="1"/>
  <c r="G184" i="8"/>
  <c r="G185" i="8" l="1"/>
  <c r="H184" i="8"/>
  <c r="G186" i="8" l="1"/>
  <c r="H185" i="8"/>
  <c r="G187" i="8" l="1"/>
  <c r="H186" i="8"/>
  <c r="G188" i="8" l="1"/>
  <c r="H187" i="8"/>
  <c r="H188" i="8" l="1"/>
  <c r="G189" i="8"/>
  <c r="G190" i="8" l="1"/>
  <c r="H189" i="8"/>
  <c r="G191" i="8" l="1"/>
  <c r="H190" i="8"/>
  <c r="G192" i="8" l="1"/>
  <c r="H191" i="8"/>
  <c r="G193" i="8" l="1"/>
  <c r="H192" i="8"/>
  <c r="H193" i="8" l="1"/>
  <c r="G194" i="8"/>
  <c r="G195" i="8" l="1"/>
  <c r="H194" i="8"/>
  <c r="H195" i="8" l="1"/>
  <c r="G196" i="8"/>
  <c r="G197" i="8" l="1"/>
  <c r="H196" i="8"/>
  <c r="H197" i="8" l="1"/>
  <c r="G198" i="8"/>
  <c r="G199" i="8" l="1"/>
  <c r="H198" i="8"/>
  <c r="H199" i="8" l="1"/>
  <c r="G200" i="8"/>
  <c r="G201" i="8" l="1"/>
  <c r="H200" i="8"/>
  <c r="H201" i="8" l="1"/>
  <c r="G202" i="8"/>
  <c r="G203" i="8" l="1"/>
  <c r="H202" i="8"/>
  <c r="G204" i="8" l="1"/>
  <c r="H203" i="8"/>
  <c r="H204" i="8" l="1"/>
  <c r="G205" i="8"/>
  <c r="G206" i="8" l="1"/>
  <c r="H205" i="8"/>
  <c r="G207" i="8" l="1"/>
  <c r="H206" i="8"/>
  <c r="G208" i="8" l="1"/>
  <c r="H207" i="8"/>
  <c r="G209" i="8" l="1"/>
  <c r="H208" i="8"/>
  <c r="H209" i="8" l="1"/>
  <c r="G210" i="8"/>
  <c r="G211" i="8" l="1"/>
  <c r="H210" i="8"/>
  <c r="H211" i="8" l="1"/>
  <c r="G212" i="8"/>
  <c r="G213" i="8" l="1"/>
  <c r="H212" i="8"/>
  <c r="H213" i="8" l="1"/>
  <c r="G214" i="8"/>
  <c r="G215" i="8" l="1"/>
  <c r="H214" i="8"/>
  <c r="H215" i="8" l="1"/>
  <c r="G216" i="8"/>
  <c r="G217" i="8" l="1"/>
  <c r="H216" i="8"/>
  <c r="G218" i="8" l="1"/>
  <c r="H217" i="8"/>
  <c r="G219" i="8" l="1"/>
  <c r="H218" i="8"/>
  <c r="G220" i="8" l="1"/>
  <c r="H219" i="8"/>
  <c r="H220" i="8" l="1"/>
  <c r="G221" i="8"/>
  <c r="G222" i="8" l="1"/>
  <c r="H221" i="8"/>
  <c r="G223" i="8" l="1"/>
  <c r="H222" i="8"/>
  <c r="G224" i="8" l="1"/>
  <c r="H223" i="8"/>
  <c r="G225" i="8" l="1"/>
  <c r="H224" i="8"/>
  <c r="H225" i="8" l="1"/>
  <c r="G226" i="8"/>
  <c r="G227" i="8" l="1"/>
  <c r="H226" i="8"/>
  <c r="H227" i="8" l="1"/>
  <c r="G228" i="8"/>
  <c r="G229" i="8" l="1"/>
  <c r="H228" i="8"/>
  <c r="H229" i="8" l="1"/>
  <c r="G230" i="8"/>
  <c r="G231" i="8" l="1"/>
  <c r="H230" i="8"/>
  <c r="H231" i="8" l="1"/>
  <c r="G232" i="8"/>
  <c r="G233" i="8" l="1"/>
  <c r="H232" i="8"/>
  <c r="G234" i="8" l="1"/>
  <c r="H233" i="8"/>
  <c r="G235" i="8" l="1"/>
  <c r="H234" i="8"/>
  <c r="G236" i="8" l="1"/>
  <c r="H235" i="8"/>
  <c r="H236" i="8" l="1"/>
  <c r="G237" i="8"/>
  <c r="G238" i="8" l="1"/>
  <c r="H237" i="8"/>
  <c r="G239" i="8" l="1"/>
  <c r="H238" i="8"/>
  <c r="G240" i="8" l="1"/>
  <c r="H239" i="8"/>
  <c r="G241" i="8" l="1"/>
  <c r="H240" i="8"/>
  <c r="H241" i="8" l="1"/>
  <c r="G242" i="8"/>
  <c r="G243" i="8" l="1"/>
  <c r="H242" i="8"/>
  <c r="H243" i="8" l="1"/>
  <c r="G244" i="8"/>
  <c r="G245" i="8" l="1"/>
  <c r="H244" i="8"/>
  <c r="H245" i="8" l="1"/>
  <c r="G246" i="8"/>
  <c r="G247" i="8" l="1"/>
  <c r="H246" i="8"/>
  <c r="H247" i="8" l="1"/>
  <c r="G248" i="8"/>
  <c r="G249" i="8" l="1"/>
  <c r="H248" i="8"/>
  <c r="G250" i="8" l="1"/>
  <c r="H249" i="8"/>
  <c r="G251" i="8" l="1"/>
  <c r="H250" i="8"/>
  <c r="G252" i="8" l="1"/>
  <c r="H251" i="8"/>
  <c r="H252" i="8" l="1"/>
  <c r="G253" i="8"/>
  <c r="G254" i="8" l="1"/>
  <c r="H253" i="8"/>
  <c r="G255" i="8" l="1"/>
  <c r="H254" i="8"/>
  <c r="G256" i="8" l="1"/>
  <c r="H255" i="8"/>
  <c r="G257" i="8" l="1"/>
  <c r="H256" i="8"/>
  <c r="H257" i="8" l="1"/>
  <c r="G258" i="8"/>
  <c r="G259" i="8" l="1"/>
  <c r="H258" i="8"/>
  <c r="H259" i="8" l="1"/>
  <c r="G260" i="8"/>
  <c r="G261" i="8" l="1"/>
  <c r="H260" i="8"/>
  <c r="H261" i="8" l="1"/>
  <c r="G262" i="8"/>
  <c r="G263" i="8" l="1"/>
  <c r="H262" i="8"/>
  <c r="H263" i="8" l="1"/>
  <c r="G264" i="8"/>
  <c r="G265" i="8" l="1"/>
  <c r="H264" i="8"/>
  <c r="H265" i="8" l="1"/>
  <c r="G266" i="8"/>
  <c r="G267" i="8" l="1"/>
  <c r="H266" i="8"/>
  <c r="G268" i="8" l="1"/>
  <c r="H267" i="8"/>
  <c r="H268" i="8" l="1"/>
  <c r="G269" i="8"/>
  <c r="G270" i="8" l="1"/>
  <c r="H269" i="8"/>
  <c r="G271" i="8" l="1"/>
  <c r="H270" i="8"/>
  <c r="G272" i="8" l="1"/>
  <c r="H271" i="8"/>
  <c r="G273" i="8" l="1"/>
  <c r="H272" i="8"/>
  <c r="H273" i="8" l="1"/>
  <c r="G274" i="8"/>
  <c r="G275" i="8" l="1"/>
  <c r="H274" i="8"/>
  <c r="H275" i="8" l="1"/>
  <c r="G276" i="8"/>
  <c r="G277" i="8" l="1"/>
  <c r="H276" i="8"/>
  <c r="H277" i="8" l="1"/>
  <c r="G278" i="8"/>
  <c r="G279" i="8" l="1"/>
  <c r="H278" i="8"/>
  <c r="H279" i="8" l="1"/>
  <c r="G280" i="8"/>
  <c r="G281" i="8" l="1"/>
  <c r="H280" i="8"/>
  <c r="G282" i="8" l="1"/>
  <c r="H281" i="8"/>
  <c r="G283" i="8" l="1"/>
  <c r="H282" i="8"/>
  <c r="G284" i="8" l="1"/>
  <c r="H283" i="8"/>
  <c r="H284" i="8" l="1"/>
  <c r="G285" i="8"/>
  <c r="G286" i="8" l="1"/>
  <c r="H285" i="8"/>
  <c r="G287" i="8" l="1"/>
  <c r="H286" i="8"/>
  <c r="G288" i="8" l="1"/>
  <c r="H287" i="8"/>
  <c r="G289" i="8" l="1"/>
  <c r="H288" i="8"/>
  <c r="H289" i="8" l="1"/>
  <c r="G290" i="8"/>
  <c r="G291" i="8" l="1"/>
  <c r="H290" i="8"/>
  <c r="H291" i="8" l="1"/>
  <c r="G292" i="8"/>
  <c r="G293" i="8" l="1"/>
  <c r="H292" i="8"/>
  <c r="H293" i="8" l="1"/>
  <c r="G294" i="8"/>
  <c r="G295" i="8" l="1"/>
  <c r="H294" i="8"/>
  <c r="H295" i="8" l="1"/>
  <c r="G296" i="8"/>
  <c r="G297" i="8" l="1"/>
  <c r="H296" i="8"/>
  <c r="G298" i="8" l="1"/>
  <c r="H297" i="8"/>
  <c r="G299" i="8" l="1"/>
  <c r="H298" i="8"/>
  <c r="G300" i="8" l="1"/>
  <c r="H299" i="8"/>
  <c r="H300" i="8" l="1"/>
  <c r="G301" i="8"/>
  <c r="G302" i="8" l="1"/>
  <c r="H301" i="8"/>
  <c r="G303" i="8" l="1"/>
  <c r="H302" i="8"/>
  <c r="G304" i="8" l="1"/>
  <c r="H303" i="8"/>
  <c r="G305" i="8" l="1"/>
  <c r="H304" i="8"/>
  <c r="H305" i="8" l="1"/>
  <c r="G306" i="8"/>
  <c r="G307" i="8" l="1"/>
  <c r="H306" i="8"/>
  <c r="H307" i="8" l="1"/>
  <c r="G308" i="8"/>
  <c r="G309" i="8" l="1"/>
  <c r="H308" i="8"/>
  <c r="H309" i="8" l="1"/>
  <c r="G310" i="8"/>
  <c r="G311" i="8" l="1"/>
  <c r="H310" i="8"/>
  <c r="H311" i="8" l="1"/>
  <c r="G312" i="8"/>
  <c r="G313" i="8" l="1"/>
  <c r="H312" i="8"/>
  <c r="G314" i="8" l="1"/>
  <c r="H313" i="8"/>
  <c r="G315" i="8" l="1"/>
  <c r="H314" i="8"/>
  <c r="G316" i="8" l="1"/>
  <c r="H315" i="8"/>
  <c r="H316" i="8" l="1"/>
  <c r="G317" i="8"/>
  <c r="G318" i="8" l="1"/>
  <c r="H317" i="8"/>
  <c r="G319" i="8" l="1"/>
  <c r="H318" i="8"/>
  <c r="G320" i="8" l="1"/>
  <c r="H319" i="8"/>
  <c r="G321" i="8" l="1"/>
  <c r="H320" i="8"/>
  <c r="H321" i="8" l="1"/>
  <c r="G322" i="8"/>
  <c r="G323" i="8" l="1"/>
  <c r="H322" i="8"/>
  <c r="H323" i="8" l="1"/>
  <c r="G324" i="8"/>
  <c r="G325" i="8" l="1"/>
  <c r="H324" i="8"/>
  <c r="H325" i="8" l="1"/>
  <c r="G326" i="8"/>
  <c r="G327" i="8" l="1"/>
  <c r="H326" i="8"/>
  <c r="H327" i="8" l="1"/>
  <c r="G328" i="8"/>
  <c r="G329" i="8" l="1"/>
  <c r="H328" i="8"/>
  <c r="H329" i="8" l="1"/>
  <c r="G330" i="8"/>
  <c r="G331" i="8" l="1"/>
  <c r="H330" i="8"/>
  <c r="G332" i="8" l="1"/>
  <c r="H331" i="8"/>
  <c r="H332" i="8" l="1"/>
  <c r="G333" i="8"/>
  <c r="G334" i="8" l="1"/>
  <c r="H333" i="8"/>
  <c r="G335" i="8" l="1"/>
  <c r="H334" i="8"/>
  <c r="G336" i="8" l="1"/>
  <c r="H335" i="8"/>
  <c r="G337" i="8" l="1"/>
  <c r="H336" i="8"/>
  <c r="H337" i="8" l="1"/>
  <c r="G338" i="8"/>
  <c r="G339" i="8" l="1"/>
  <c r="H338" i="8"/>
  <c r="H339" i="8" l="1"/>
  <c r="G340" i="8"/>
  <c r="G341" i="8" l="1"/>
  <c r="H340" i="8"/>
  <c r="H341" i="8" l="1"/>
  <c r="G342" i="8"/>
  <c r="G343" i="8" l="1"/>
  <c r="H342" i="8"/>
  <c r="H343" i="8" l="1"/>
  <c r="G344" i="8"/>
  <c r="G345" i="8" l="1"/>
  <c r="H344" i="8"/>
  <c r="G346" i="8" l="1"/>
  <c r="H345" i="8"/>
  <c r="G347" i="8" l="1"/>
  <c r="H346" i="8"/>
  <c r="G348" i="8" l="1"/>
  <c r="H347" i="8"/>
  <c r="H348" i="8" l="1"/>
  <c r="G349" i="8"/>
  <c r="G350" i="8" l="1"/>
  <c r="H349" i="8"/>
  <c r="G351" i="8" l="1"/>
  <c r="H350" i="8"/>
  <c r="G352" i="8" l="1"/>
  <c r="H351" i="8"/>
  <c r="G353" i="8" l="1"/>
  <c r="H352" i="8"/>
  <c r="H353" i="8" l="1"/>
  <c r="G354" i="8"/>
  <c r="G355" i="8" l="1"/>
  <c r="H354" i="8"/>
  <c r="H355" i="8" l="1"/>
  <c r="G356" i="8"/>
  <c r="G357" i="8" l="1"/>
  <c r="H356" i="8"/>
  <c r="H357" i="8" l="1"/>
  <c r="G358" i="8"/>
  <c r="G359" i="8" l="1"/>
  <c r="H358" i="8"/>
  <c r="H359" i="8" l="1"/>
  <c r="G360" i="8"/>
  <c r="G361" i="8" l="1"/>
  <c r="H360" i="8"/>
  <c r="G362" i="8" l="1"/>
  <c r="H361" i="8"/>
  <c r="G363" i="8" l="1"/>
  <c r="H362" i="8"/>
  <c r="G364" i="8" l="1"/>
  <c r="H363" i="8"/>
  <c r="H364" i="8" l="1"/>
  <c r="G365" i="8"/>
  <c r="G366" i="8" l="1"/>
  <c r="H365" i="8"/>
  <c r="G367" i="8" l="1"/>
  <c r="H366" i="8"/>
  <c r="G368" i="8" l="1"/>
  <c r="H367" i="8"/>
  <c r="G369" i="8" l="1"/>
  <c r="H368" i="8"/>
  <c r="H369" i="8" l="1"/>
  <c r="G370" i="8"/>
  <c r="G371" i="8" l="1"/>
  <c r="H370" i="8"/>
  <c r="H371" i="8" l="1"/>
  <c r="G372" i="8"/>
  <c r="G373" i="8" l="1"/>
  <c r="H372" i="8"/>
  <c r="H373" i="8" l="1"/>
  <c r="G374" i="8"/>
  <c r="G375" i="8" l="1"/>
  <c r="H374" i="8"/>
  <c r="H375" i="8" l="1"/>
  <c r="G376" i="8"/>
  <c r="G377" i="8" l="1"/>
  <c r="H376" i="8"/>
  <c r="G378" i="8" l="1"/>
  <c r="H377" i="8"/>
  <c r="G379" i="8" l="1"/>
  <c r="H378" i="8"/>
  <c r="G380" i="8" l="1"/>
  <c r="H379" i="8"/>
  <c r="H380" i="8" l="1"/>
  <c r="G381" i="8"/>
  <c r="G382" i="8" l="1"/>
  <c r="H381" i="8"/>
  <c r="G383" i="8" l="1"/>
  <c r="H382" i="8"/>
  <c r="G384" i="8" l="1"/>
  <c r="H383" i="8"/>
  <c r="G385" i="8" l="1"/>
  <c r="H384" i="8"/>
  <c r="H385" i="8" l="1"/>
  <c r="G386" i="8"/>
  <c r="G387" i="8" l="1"/>
  <c r="H386" i="8"/>
  <c r="H387" i="8" l="1"/>
  <c r="G388" i="8"/>
  <c r="G389" i="8" l="1"/>
  <c r="H388" i="8"/>
  <c r="H389" i="8" l="1"/>
  <c r="G390" i="8"/>
  <c r="G391" i="8" l="1"/>
  <c r="H390" i="8"/>
  <c r="H391" i="8" l="1"/>
  <c r="G392" i="8"/>
  <c r="G393" i="8" l="1"/>
  <c r="H392" i="8"/>
  <c r="H393" i="8" l="1"/>
  <c r="G394" i="8"/>
  <c r="G395" i="8" l="1"/>
  <c r="H394" i="8"/>
  <c r="G396" i="8" l="1"/>
  <c r="H395" i="8"/>
  <c r="H396" i="8" l="1"/>
  <c r="G397" i="8"/>
  <c r="G398" i="8" l="1"/>
  <c r="H397" i="8"/>
  <c r="G399" i="8" l="1"/>
  <c r="H398" i="8"/>
  <c r="G400" i="8" l="1"/>
  <c r="H399" i="8"/>
  <c r="G401" i="8" l="1"/>
  <c r="H400" i="8"/>
  <c r="H401" i="8" l="1"/>
  <c r="G402" i="8"/>
  <c r="G403" i="8" l="1"/>
  <c r="H402" i="8"/>
  <c r="H403" i="8" l="1"/>
  <c r="G404" i="8"/>
  <c r="G405" i="8" l="1"/>
  <c r="H404" i="8"/>
  <c r="H405" i="8" l="1"/>
  <c r="G406" i="8"/>
  <c r="G407" i="8" l="1"/>
  <c r="H406" i="8"/>
  <c r="H407" i="8" l="1"/>
  <c r="G408" i="8"/>
  <c r="G409" i="8" l="1"/>
  <c r="H408" i="8"/>
  <c r="G410" i="8" l="1"/>
  <c r="H409" i="8"/>
  <c r="G411" i="8" l="1"/>
  <c r="H410" i="8"/>
  <c r="G412" i="8" l="1"/>
  <c r="H411" i="8"/>
  <c r="H412" i="8" l="1"/>
  <c r="G413" i="8"/>
  <c r="G414" i="8" l="1"/>
  <c r="H413" i="8"/>
  <c r="G415" i="8" l="1"/>
  <c r="H414" i="8"/>
  <c r="G416" i="8" l="1"/>
  <c r="H415" i="8"/>
  <c r="G417" i="8" l="1"/>
  <c r="H416" i="8"/>
  <c r="H417" i="8" l="1"/>
  <c r="G418" i="8"/>
  <c r="G419" i="8" l="1"/>
  <c r="H418" i="8"/>
  <c r="H419" i="8" l="1"/>
  <c r="G420" i="8"/>
  <c r="G421" i="8" l="1"/>
  <c r="H420" i="8"/>
  <c r="H421" i="8" l="1"/>
  <c r="G422" i="8"/>
  <c r="G423" i="8" l="1"/>
  <c r="H422" i="8"/>
  <c r="H423" i="8" l="1"/>
  <c r="G424" i="8"/>
  <c r="G425" i="8" l="1"/>
  <c r="H424" i="8"/>
  <c r="G426" i="8" l="1"/>
  <c r="H425" i="8"/>
  <c r="G427" i="8" l="1"/>
  <c r="H426" i="8"/>
  <c r="G428" i="8" l="1"/>
  <c r="H427" i="8"/>
  <c r="H428" i="8" l="1"/>
  <c r="G429" i="8"/>
  <c r="G430" i="8" l="1"/>
  <c r="H429" i="8"/>
  <c r="G431" i="8" l="1"/>
  <c r="H430" i="8"/>
  <c r="G432" i="8" l="1"/>
  <c r="H431" i="8"/>
  <c r="G433" i="8" l="1"/>
  <c r="H432" i="8"/>
  <c r="H433" i="8" l="1"/>
  <c r="G434" i="8"/>
  <c r="G435" i="8" l="1"/>
  <c r="H434" i="8"/>
  <c r="H435" i="8" l="1"/>
  <c r="G436" i="8"/>
  <c r="G437" i="8" l="1"/>
  <c r="H436" i="8"/>
  <c r="H437" i="8" l="1"/>
  <c r="G438" i="8"/>
  <c r="G439" i="8" l="1"/>
  <c r="H438" i="8"/>
  <c r="H439" i="8" l="1"/>
  <c r="G440" i="8"/>
  <c r="G441" i="8" l="1"/>
  <c r="H440" i="8"/>
  <c r="G442" i="8" l="1"/>
  <c r="H441" i="8"/>
  <c r="G443" i="8" l="1"/>
  <c r="H442" i="8"/>
  <c r="G444" i="8" l="1"/>
  <c r="H443" i="8"/>
  <c r="H444" i="8" l="1"/>
  <c r="G445" i="8"/>
  <c r="G446" i="8" l="1"/>
  <c r="H445" i="8"/>
  <c r="G447" i="8" l="1"/>
  <c r="H446" i="8"/>
  <c r="G448" i="8" l="1"/>
  <c r="H447" i="8"/>
  <c r="G449" i="8" l="1"/>
  <c r="H448" i="8"/>
  <c r="H449" i="8" l="1"/>
  <c r="G450" i="8"/>
  <c r="G451" i="8" l="1"/>
  <c r="H450" i="8"/>
  <c r="H451" i="8" l="1"/>
  <c r="G452" i="8"/>
  <c r="G453" i="8" l="1"/>
  <c r="H452" i="8"/>
  <c r="H453" i="8" l="1"/>
  <c r="G454" i="8"/>
  <c r="G455" i="8" l="1"/>
  <c r="H454" i="8"/>
  <c r="H455" i="8" l="1"/>
  <c r="G456" i="8"/>
  <c r="G457" i="8" l="1"/>
  <c r="H456" i="8"/>
  <c r="H457" i="8" l="1"/>
  <c r="G458" i="8"/>
  <c r="G459" i="8" l="1"/>
  <c r="H458" i="8"/>
  <c r="G460" i="8" l="1"/>
  <c r="H459" i="8"/>
  <c r="H460" i="8" l="1"/>
  <c r="G461" i="8"/>
  <c r="G462" i="8" l="1"/>
  <c r="H461" i="8"/>
  <c r="G463" i="8" l="1"/>
  <c r="H462" i="8"/>
  <c r="G464" i="8" l="1"/>
  <c r="H463" i="8"/>
  <c r="G465" i="8" l="1"/>
  <c r="H464" i="8"/>
  <c r="H465" i="8" l="1"/>
  <c r="G466" i="8"/>
  <c r="G467" i="8" l="1"/>
  <c r="H466" i="8"/>
  <c r="H467" i="8" l="1"/>
  <c r="G468" i="8"/>
  <c r="G469" i="8" l="1"/>
  <c r="H468" i="8"/>
  <c r="H469" i="8" l="1"/>
  <c r="G470" i="8"/>
  <c r="G471" i="8" l="1"/>
  <c r="H470" i="8"/>
  <c r="H471" i="8" l="1"/>
  <c r="G472" i="8"/>
  <c r="G473" i="8" l="1"/>
  <c r="H472" i="8"/>
  <c r="G474" i="8" l="1"/>
  <c r="H473" i="8"/>
  <c r="G475" i="8" l="1"/>
  <c r="H474" i="8"/>
  <c r="G476" i="8" l="1"/>
  <c r="H475" i="8"/>
  <c r="H476" i="8" l="1"/>
  <c r="G477" i="8"/>
  <c r="G478" i="8" l="1"/>
  <c r="H477" i="8"/>
  <c r="G479" i="8" l="1"/>
  <c r="H478" i="8"/>
  <c r="G480" i="8" l="1"/>
  <c r="H479" i="8"/>
  <c r="G481" i="8" l="1"/>
  <c r="H480" i="8"/>
  <c r="H481" i="8" l="1"/>
  <c r="G482" i="8"/>
  <c r="G483" i="8" l="1"/>
  <c r="H482" i="8"/>
  <c r="H483" i="8" l="1"/>
  <c r="G484" i="8"/>
  <c r="G485" i="8" l="1"/>
  <c r="H484" i="8"/>
  <c r="H485" i="8" l="1"/>
  <c r="G486" i="8"/>
  <c r="G487" i="8" l="1"/>
  <c r="H486" i="8"/>
  <c r="H487" i="8" l="1"/>
  <c r="G488" i="8"/>
  <c r="G489" i="8" l="1"/>
  <c r="H488" i="8"/>
  <c r="G490" i="8" l="1"/>
  <c r="H489" i="8"/>
  <c r="G491" i="8" l="1"/>
  <c r="H490" i="8"/>
  <c r="G492" i="8" l="1"/>
  <c r="H491" i="8"/>
  <c r="H492" i="8" l="1"/>
  <c r="G493" i="8"/>
  <c r="G494" i="8" l="1"/>
  <c r="H493" i="8"/>
  <c r="G495" i="8" l="1"/>
  <c r="H494" i="8"/>
  <c r="G496" i="8" l="1"/>
  <c r="H495" i="8"/>
  <c r="G497" i="8" l="1"/>
  <c r="H496" i="8"/>
  <c r="H497" i="8" l="1"/>
  <c r="G498" i="8"/>
  <c r="G499" i="8" l="1"/>
  <c r="H498" i="8"/>
  <c r="H499" i="8" l="1"/>
  <c r="G500" i="8"/>
  <c r="G501" i="8" l="1"/>
  <c r="H500" i="8"/>
  <c r="H501" i="8" l="1"/>
  <c r="G502" i="8"/>
  <c r="G503" i="8" l="1"/>
  <c r="H502" i="8"/>
  <c r="H503" i="8" l="1"/>
  <c r="G504" i="8"/>
  <c r="G505" i="8" l="1"/>
  <c r="H504" i="8"/>
  <c r="G506" i="8" l="1"/>
  <c r="H505" i="8"/>
  <c r="G507" i="8" l="1"/>
  <c r="H506" i="8"/>
  <c r="G508" i="8" l="1"/>
  <c r="H507" i="8"/>
  <c r="H508" i="8" l="1"/>
  <c r="G509" i="8"/>
  <c r="G510" i="8" l="1"/>
  <c r="H509" i="8"/>
  <c r="G511" i="8" l="1"/>
  <c r="H510" i="8"/>
  <c r="G512" i="8" l="1"/>
  <c r="H511" i="8"/>
  <c r="G513" i="8" l="1"/>
  <c r="H512" i="8"/>
  <c r="H513" i="8" l="1"/>
  <c r="G514" i="8"/>
  <c r="G515" i="8" l="1"/>
  <c r="H514" i="8"/>
  <c r="H515" i="8" l="1"/>
  <c r="G516" i="8"/>
  <c r="G517" i="8" l="1"/>
  <c r="H516" i="8"/>
  <c r="H517" i="8" l="1"/>
  <c r="G518" i="8"/>
  <c r="G519" i="8" l="1"/>
  <c r="H518" i="8"/>
  <c r="H519" i="8" l="1"/>
  <c r="G520" i="8"/>
  <c r="G521" i="8" l="1"/>
  <c r="H520" i="8"/>
  <c r="H521" i="8" l="1"/>
  <c r="G522" i="8"/>
  <c r="G523" i="8" l="1"/>
  <c r="H522" i="8"/>
  <c r="G524" i="8" l="1"/>
  <c r="H523" i="8"/>
  <c r="H524" i="8" l="1"/>
  <c r="G525" i="8"/>
  <c r="G526" i="8" l="1"/>
  <c r="H525" i="8"/>
  <c r="G527" i="8" l="1"/>
  <c r="H526" i="8"/>
  <c r="G528" i="8" l="1"/>
  <c r="H527" i="8"/>
  <c r="G529" i="8" l="1"/>
  <c r="H528" i="8"/>
  <c r="H529" i="8" l="1"/>
  <c r="G530" i="8"/>
  <c r="G531" i="8" l="1"/>
  <c r="H530" i="8"/>
  <c r="H531" i="8" l="1"/>
  <c r="G532" i="8"/>
  <c r="G533" i="8" l="1"/>
  <c r="H532" i="8"/>
  <c r="H533" i="8" l="1"/>
  <c r="G534" i="8"/>
  <c r="G535" i="8" l="1"/>
  <c r="H534" i="8"/>
  <c r="H535" i="8" l="1"/>
  <c r="G536" i="8"/>
  <c r="G537" i="8" l="1"/>
  <c r="H536" i="8"/>
  <c r="G538" i="8" l="1"/>
  <c r="H537" i="8"/>
  <c r="G539" i="8" l="1"/>
  <c r="H538" i="8"/>
  <c r="G540" i="8" l="1"/>
  <c r="H539" i="8"/>
  <c r="H540" i="8" l="1"/>
  <c r="G541" i="8"/>
  <c r="G542" i="8" l="1"/>
  <c r="H541" i="8"/>
  <c r="G543" i="8" l="1"/>
  <c r="H542" i="8"/>
  <c r="G544" i="8" l="1"/>
  <c r="H543" i="8"/>
  <c r="G545" i="8" l="1"/>
  <c r="H544" i="8"/>
  <c r="H545" i="8" l="1"/>
  <c r="G546" i="8"/>
  <c r="G547" i="8" l="1"/>
  <c r="H546" i="8"/>
  <c r="H547" i="8" l="1"/>
  <c r="G548" i="8"/>
  <c r="G549" i="8" l="1"/>
  <c r="H548" i="8"/>
  <c r="H549" i="8" l="1"/>
  <c r="G550" i="8"/>
  <c r="G551" i="8" l="1"/>
  <c r="H550" i="8"/>
  <c r="H551" i="8" l="1"/>
  <c r="G552" i="8"/>
  <c r="G553" i="8" l="1"/>
  <c r="H552" i="8"/>
  <c r="G554" i="8" l="1"/>
  <c r="H553" i="8"/>
  <c r="G555" i="8" l="1"/>
  <c r="H554" i="8"/>
  <c r="G556" i="8" l="1"/>
  <c r="H555" i="8"/>
  <c r="H556" i="8" l="1"/>
  <c r="G557" i="8"/>
  <c r="G558" i="8" l="1"/>
  <c r="H557" i="8"/>
  <c r="G559" i="8" l="1"/>
  <c r="H558" i="8"/>
  <c r="G560" i="8" l="1"/>
  <c r="H559" i="8"/>
  <c r="G561" i="8" l="1"/>
  <c r="H560" i="8"/>
  <c r="H561" i="8" l="1"/>
  <c r="G562" i="8"/>
  <c r="G563" i="8" l="1"/>
  <c r="H562" i="8"/>
  <c r="H563" i="8" l="1"/>
  <c r="G564" i="8"/>
  <c r="G565" i="8" l="1"/>
  <c r="H564" i="8"/>
  <c r="H565" i="8" l="1"/>
  <c r="G566" i="8"/>
  <c r="G567" i="8" l="1"/>
  <c r="H566" i="8"/>
  <c r="H567" i="8" l="1"/>
  <c r="G568" i="8"/>
  <c r="G569" i="8" l="1"/>
  <c r="H568" i="8"/>
  <c r="G570" i="8" l="1"/>
  <c r="H569" i="8"/>
  <c r="G571" i="8" l="1"/>
  <c r="H570" i="8"/>
  <c r="G572" i="8" l="1"/>
  <c r="H571" i="8"/>
  <c r="H572" i="8" l="1"/>
  <c r="G573" i="8"/>
  <c r="G574" i="8" l="1"/>
  <c r="H573" i="8"/>
  <c r="G575" i="8" l="1"/>
  <c r="H574" i="8"/>
  <c r="G576" i="8" l="1"/>
  <c r="H575" i="8"/>
  <c r="G577" i="8" l="1"/>
  <c r="H576" i="8"/>
  <c r="H577" i="8" l="1"/>
  <c r="G578" i="8"/>
  <c r="G579" i="8" l="1"/>
  <c r="H578" i="8"/>
  <c r="H579" i="8" l="1"/>
  <c r="G580" i="8"/>
  <c r="G581" i="8" l="1"/>
  <c r="H580" i="8"/>
  <c r="H581" i="8" l="1"/>
  <c r="G582" i="8"/>
  <c r="G583" i="8" l="1"/>
  <c r="H582" i="8"/>
  <c r="H583" i="8" l="1"/>
  <c r="G584" i="8"/>
  <c r="G585" i="8" l="1"/>
  <c r="H584" i="8"/>
  <c r="H585" i="8" l="1"/>
  <c r="G586" i="8"/>
  <c r="G587" i="8" l="1"/>
  <c r="H586" i="8"/>
  <c r="G588" i="8" l="1"/>
  <c r="H587" i="8"/>
  <c r="H588" i="8" l="1"/>
  <c r="G589" i="8"/>
  <c r="G590" i="8" l="1"/>
  <c r="H589" i="8"/>
  <c r="G591" i="8" l="1"/>
  <c r="H590" i="8"/>
  <c r="G592" i="8" l="1"/>
  <c r="H591" i="8"/>
  <c r="G593" i="8" l="1"/>
  <c r="H592" i="8"/>
  <c r="H593" i="8" l="1"/>
  <c r="G594" i="8"/>
  <c r="G595" i="8" l="1"/>
  <c r="H594" i="8"/>
  <c r="H595" i="8" l="1"/>
  <c r="G596" i="8"/>
  <c r="G597" i="8" l="1"/>
  <c r="H596" i="8"/>
  <c r="H597" i="8" l="1"/>
  <c r="G598" i="8"/>
  <c r="G599" i="8" l="1"/>
  <c r="H598" i="8"/>
  <c r="H599" i="8" l="1"/>
  <c r="G600" i="8"/>
  <c r="G601" i="8" l="1"/>
  <c r="H600" i="8"/>
  <c r="G602" i="8" l="1"/>
  <c r="H601" i="8"/>
  <c r="G603" i="8" l="1"/>
  <c r="H602" i="8"/>
  <c r="G604" i="8" l="1"/>
  <c r="H603" i="8"/>
  <c r="H604" i="8" l="1"/>
  <c r="G605" i="8"/>
  <c r="G606" i="8" l="1"/>
  <c r="H605" i="8"/>
  <c r="G607" i="8" l="1"/>
  <c r="H606" i="8"/>
  <c r="G608" i="8" l="1"/>
  <c r="H607" i="8"/>
  <c r="G609" i="8" l="1"/>
  <c r="H608" i="8"/>
  <c r="H609" i="8" l="1"/>
  <c r="G610" i="8"/>
  <c r="G611" i="8" l="1"/>
  <c r="H610" i="8"/>
  <c r="H611" i="8" l="1"/>
  <c r="G612" i="8"/>
  <c r="G613" i="8" l="1"/>
  <c r="H612" i="8"/>
  <c r="H613" i="8" l="1"/>
  <c r="G614" i="8"/>
  <c r="G615" i="8" l="1"/>
  <c r="H614" i="8"/>
  <c r="H615" i="8" l="1"/>
  <c r="G616" i="8"/>
  <c r="G617" i="8" l="1"/>
  <c r="H616" i="8"/>
  <c r="G618" i="8" l="1"/>
  <c r="H617" i="8"/>
  <c r="G619" i="8" l="1"/>
  <c r="H618" i="8"/>
  <c r="G620" i="8" l="1"/>
  <c r="H619" i="8"/>
  <c r="H620" i="8" l="1"/>
  <c r="G621" i="8"/>
  <c r="G622" i="8" l="1"/>
  <c r="H621" i="8"/>
  <c r="G623" i="8" l="1"/>
  <c r="H622" i="8"/>
  <c r="G624" i="8" l="1"/>
  <c r="H623" i="8"/>
  <c r="G625" i="8" l="1"/>
  <c r="H624" i="8"/>
  <c r="H625" i="8" l="1"/>
  <c r="G626" i="8"/>
  <c r="G627" i="8" l="1"/>
  <c r="H626" i="8"/>
  <c r="H627" i="8" l="1"/>
  <c r="G628" i="8"/>
  <c r="G629" i="8" l="1"/>
  <c r="H628" i="8"/>
  <c r="H629" i="8" l="1"/>
  <c r="G630" i="8"/>
  <c r="G631" i="8" l="1"/>
  <c r="H630" i="8"/>
  <c r="H631" i="8" l="1"/>
  <c r="G632" i="8"/>
  <c r="G633" i="8" l="1"/>
  <c r="H632" i="8"/>
  <c r="G634" i="8" l="1"/>
  <c r="H633" i="8"/>
  <c r="G635" i="8" l="1"/>
  <c r="H634" i="8"/>
  <c r="G636" i="8" l="1"/>
  <c r="H635" i="8"/>
  <c r="H636" i="8" l="1"/>
  <c r="G637" i="8"/>
  <c r="G638" i="8" l="1"/>
  <c r="H637" i="8"/>
  <c r="G639" i="8" l="1"/>
  <c r="H638" i="8"/>
  <c r="G640" i="8" l="1"/>
  <c r="H639" i="8"/>
  <c r="G641" i="8" l="1"/>
  <c r="H640" i="8"/>
  <c r="H641" i="8" l="1"/>
  <c r="G642" i="8"/>
  <c r="G643" i="8" l="1"/>
  <c r="H642" i="8"/>
  <c r="H643" i="8" l="1"/>
  <c r="G644" i="8"/>
  <c r="G645" i="8" l="1"/>
  <c r="H644" i="8"/>
  <c r="H645" i="8" l="1"/>
  <c r="G646" i="8"/>
  <c r="G647" i="8" l="1"/>
  <c r="H646" i="8"/>
  <c r="H647" i="8" l="1"/>
  <c r="G648" i="8"/>
  <c r="G649" i="8" l="1"/>
  <c r="H648" i="8"/>
  <c r="H649" i="8" l="1"/>
  <c r="G650" i="8"/>
  <c r="G651" i="8" l="1"/>
  <c r="H650" i="8"/>
  <c r="G652" i="8" l="1"/>
  <c r="H651" i="8"/>
  <c r="H652" i="8" l="1"/>
  <c r="G653" i="8"/>
  <c r="G654" i="8" l="1"/>
  <c r="H653" i="8"/>
  <c r="G655" i="8" l="1"/>
  <c r="H654" i="8"/>
  <c r="G656" i="8" l="1"/>
  <c r="H655" i="8"/>
  <c r="G657" i="8" l="1"/>
  <c r="H656" i="8"/>
  <c r="H657" i="8" l="1"/>
  <c r="G658" i="8"/>
  <c r="G659" i="8" l="1"/>
  <c r="H658" i="8"/>
  <c r="H659" i="8" l="1"/>
  <c r="G660" i="8"/>
  <c r="G661" i="8" l="1"/>
  <c r="H660" i="8"/>
  <c r="H661" i="8" l="1"/>
  <c r="G662" i="8"/>
  <c r="G663" i="8" l="1"/>
  <c r="H662" i="8"/>
  <c r="H663" i="8" l="1"/>
  <c r="G664" i="8"/>
  <c r="G665" i="8" l="1"/>
  <c r="H664" i="8"/>
  <c r="G666" i="8" l="1"/>
  <c r="H665" i="8"/>
  <c r="G667" i="8" l="1"/>
  <c r="H666" i="8"/>
  <c r="G668" i="8" l="1"/>
  <c r="H667" i="8"/>
  <c r="H668" i="8" l="1"/>
  <c r="G669" i="8"/>
  <c r="G670" i="8" l="1"/>
  <c r="H669" i="8"/>
  <c r="G671" i="8" l="1"/>
  <c r="H670" i="8"/>
  <c r="G672" i="8" l="1"/>
  <c r="H671" i="8"/>
  <c r="G673" i="8" l="1"/>
  <c r="H672" i="8"/>
  <c r="H673" i="8" l="1"/>
  <c r="G674" i="8"/>
  <c r="G675" i="8" l="1"/>
  <c r="H674" i="8"/>
  <c r="H675" i="8" l="1"/>
  <c r="G676" i="8"/>
  <c r="G677" i="8" l="1"/>
  <c r="H676" i="8"/>
  <c r="H677" i="8" l="1"/>
  <c r="G678" i="8"/>
  <c r="G679" i="8" l="1"/>
  <c r="H678" i="8"/>
  <c r="H679" i="8" l="1"/>
  <c r="G680" i="8"/>
  <c r="G681" i="8" l="1"/>
  <c r="H680" i="8"/>
  <c r="G682" i="8" l="1"/>
  <c r="H681" i="8"/>
  <c r="G683" i="8" l="1"/>
  <c r="H682" i="8"/>
  <c r="G684" i="8" l="1"/>
  <c r="H683" i="8"/>
  <c r="H684" i="8" l="1"/>
  <c r="G685" i="8"/>
  <c r="G686" i="8" l="1"/>
  <c r="H685" i="8"/>
  <c r="G687" i="8" l="1"/>
  <c r="H686" i="8"/>
  <c r="G688" i="8" l="1"/>
  <c r="H687" i="8"/>
  <c r="G689" i="8" l="1"/>
  <c r="H688" i="8"/>
  <c r="H689" i="8" l="1"/>
  <c r="G690" i="8"/>
  <c r="G691" i="8" l="1"/>
  <c r="H690" i="8"/>
  <c r="H691" i="8" l="1"/>
  <c r="G692" i="8"/>
  <c r="G693" i="8" l="1"/>
  <c r="H692" i="8"/>
  <c r="H693" i="8" l="1"/>
  <c r="G694" i="8"/>
  <c r="G695" i="8" l="1"/>
  <c r="H694" i="8"/>
  <c r="H695" i="8" l="1"/>
  <c r="G696" i="8"/>
  <c r="G697" i="8" l="1"/>
  <c r="H696" i="8"/>
  <c r="G698" i="8" l="1"/>
  <c r="H697" i="8"/>
  <c r="G699" i="8" l="1"/>
  <c r="H698" i="8"/>
  <c r="G700" i="8" l="1"/>
  <c r="H699" i="8"/>
  <c r="H700" i="8" l="1"/>
  <c r="G701" i="8"/>
  <c r="G702" i="8" l="1"/>
  <c r="H701" i="8"/>
  <c r="G703" i="8" l="1"/>
  <c r="H702" i="8"/>
  <c r="G704" i="8" l="1"/>
  <c r="H703" i="8"/>
  <c r="G705" i="8" l="1"/>
  <c r="H704" i="8"/>
  <c r="H705" i="8" l="1"/>
  <c r="G706" i="8"/>
  <c r="G707" i="8" l="1"/>
  <c r="H706" i="8"/>
  <c r="H707" i="8" l="1"/>
  <c r="G708" i="8"/>
  <c r="G709" i="8" l="1"/>
  <c r="H708" i="8"/>
  <c r="H709" i="8" l="1"/>
  <c r="G710" i="8"/>
  <c r="G711" i="8" l="1"/>
  <c r="H710" i="8"/>
  <c r="H711" i="8" l="1"/>
  <c r="G712" i="8"/>
  <c r="G713" i="8" l="1"/>
  <c r="H712" i="8"/>
  <c r="H713" i="8" l="1"/>
  <c r="G714" i="8"/>
  <c r="G715" i="8" l="1"/>
  <c r="H714" i="8"/>
  <c r="G716" i="8" l="1"/>
  <c r="H715" i="8"/>
  <c r="H716" i="8" l="1"/>
  <c r="G717" i="8"/>
  <c r="G718" i="8" l="1"/>
  <c r="H717" i="8"/>
  <c r="G719" i="8" l="1"/>
  <c r="H718" i="8"/>
  <c r="G720" i="8" l="1"/>
  <c r="H719" i="8"/>
  <c r="G721" i="8" l="1"/>
  <c r="H720" i="8"/>
  <c r="H721" i="8" l="1"/>
  <c r="G722" i="8"/>
  <c r="G723" i="8" l="1"/>
  <c r="H722" i="8"/>
  <c r="H723" i="8" l="1"/>
  <c r="G724" i="8"/>
  <c r="G725" i="8" l="1"/>
  <c r="H724" i="8"/>
  <c r="H725" i="8" l="1"/>
  <c r="G726" i="8"/>
  <c r="G727" i="8" l="1"/>
  <c r="H726" i="8"/>
  <c r="H727" i="8" l="1"/>
  <c r="G728" i="8"/>
  <c r="G729" i="8" l="1"/>
  <c r="H728" i="8"/>
  <c r="G730" i="8" l="1"/>
  <c r="H729" i="8"/>
  <c r="G731" i="8" l="1"/>
  <c r="H730" i="8"/>
  <c r="G732" i="8" l="1"/>
  <c r="H731" i="8"/>
  <c r="H732" i="8" l="1"/>
  <c r="G733" i="8"/>
  <c r="G734" i="8" l="1"/>
  <c r="H733" i="8"/>
  <c r="G735" i="8" l="1"/>
  <c r="H734" i="8"/>
  <c r="G736" i="8" l="1"/>
  <c r="H735" i="8"/>
  <c r="G737" i="8" l="1"/>
  <c r="H736" i="8"/>
  <c r="H737" i="8" l="1"/>
  <c r="G738" i="8"/>
  <c r="G739" i="8" l="1"/>
  <c r="H738" i="8"/>
  <c r="H739" i="8" l="1"/>
  <c r="G740" i="8"/>
  <c r="G741" i="8" l="1"/>
  <c r="H740" i="8"/>
  <c r="H741" i="8" l="1"/>
  <c r="G742" i="8"/>
  <c r="G743" i="8" l="1"/>
  <c r="H742" i="8"/>
  <c r="H743" i="8" l="1"/>
  <c r="G744" i="8"/>
  <c r="G745" i="8" l="1"/>
  <c r="H744" i="8"/>
  <c r="G746" i="8" l="1"/>
  <c r="H745" i="8"/>
  <c r="G747" i="8" l="1"/>
  <c r="H746" i="8"/>
  <c r="G748" i="8" l="1"/>
  <c r="H747" i="8"/>
  <c r="H748" i="8" l="1"/>
  <c r="G749" i="8"/>
  <c r="H74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3" authorId="0" shapeId="0" xr:uid="{00000000-0006-0000-0800-000001000000}">
      <text>
        <r>
          <rPr>
            <sz val="10"/>
            <rFont val="Arial"/>
            <family val="2"/>
          </rPr>
          <t xml:space="preserve">Ali Jaffery:
JODI data used for output then 65% of total production assumed
</t>
        </r>
      </text>
    </comment>
  </commentList>
</comments>
</file>

<file path=xl/sharedStrings.xml><?xml version="1.0" encoding="utf-8"?>
<sst xmlns="http://schemas.openxmlformats.org/spreadsheetml/2006/main" count="1039" uniqueCount="667">
  <si>
    <t>Singapore Strat monthly import</t>
  </si>
  <si>
    <t>Kpler view. Show imports for Singapore strait, LSFO and VLSFO product only actual, exclude intra-region flows, split by origin countries, monthly. Export</t>
  </si>
  <si>
    <t>Depending on where you are in the month, start vs end, go through individual country exports and assess what the final month tally might look like.</t>
  </si>
  <si>
    <t>Set forward view for specific countries based on TARs and Rumours. Ad-hoc column available for issues such as dangote.</t>
  </si>
  <si>
    <t>Singapore Strait exports</t>
  </si>
  <si>
    <t>Kpler view. Show exports for Singapore strait, LSFO and VLSFO product only actual, exclude intra-region flows, split by destination countries, monthly. Export</t>
  </si>
  <si>
    <t>Bunker Sales</t>
  </si>
  <si>
    <t>Updated monthly with values from Singapore government website</t>
  </si>
  <si>
    <t>To potentially be replaced by the Ship &amp; Bunker or Spot Barge subscription</t>
  </si>
  <si>
    <t>Crude imports</t>
  </si>
  <si>
    <t xml:space="preserve">Kpler crude imports, actual, exclude intra company flows, split by grades, select the following grades only, </t>
  </si>
  <si>
    <t>Dar</t>
  </si>
  <si>
    <t>Ostra</t>
  </si>
  <si>
    <t>Vincent</t>
  </si>
  <si>
    <t>Atlanta</t>
  </si>
  <si>
    <t>Kraken</t>
  </si>
  <si>
    <t>Nile</t>
  </si>
  <si>
    <t>Doba Blend</t>
  </si>
  <si>
    <t>Pyrenees</t>
  </si>
  <si>
    <t>Van Gogh</t>
  </si>
  <si>
    <t>Yombo</t>
  </si>
  <si>
    <t>Meleck</t>
  </si>
  <si>
    <t>Escalante</t>
  </si>
  <si>
    <t>Production</t>
  </si>
  <si>
    <t>Run JODI update and draw latest month update from there for Singapore, Malaysia and Indonesia</t>
  </si>
  <si>
    <t>Storage Onshore</t>
  </si>
  <si>
    <t>Weekly data taken from Platts Connect website, using the code SSGP599, or bloomberg code SPIVRESD Index</t>
  </si>
  <si>
    <t>Floating Storage</t>
  </si>
  <si>
    <t>Kpler Floating storage report. For Malacca Strait and Singapore Strait, Floating Storage, Cargo Quantity, LSVGO LSFO VLSFO LSSRFO, for Vessel class VLCC</t>
  </si>
  <si>
    <t>date</t>
  </si>
  <si>
    <t>Total</t>
  </si>
  <si>
    <t>Ad-hoc</t>
  </si>
  <si>
    <t>Brazil</t>
  </si>
  <si>
    <t>Malaysia</t>
  </si>
  <si>
    <t>Indonesia</t>
  </si>
  <si>
    <t>Netherlands</t>
  </si>
  <si>
    <t>Kuwait</t>
  </si>
  <si>
    <t>Thailand</t>
  </si>
  <si>
    <t>Singapore Republic</t>
  </si>
  <si>
    <t>Japan</t>
  </si>
  <si>
    <t>India</t>
  </si>
  <si>
    <t>Denmark</t>
  </si>
  <si>
    <t>Turkey</t>
  </si>
  <si>
    <t>Taiwan</t>
  </si>
  <si>
    <t>South Korea</t>
  </si>
  <si>
    <t>Estonia</t>
  </si>
  <si>
    <t>United States</t>
  </si>
  <si>
    <t>Vietnam</t>
  </si>
  <si>
    <t>Spain</t>
  </si>
  <si>
    <t>United Arab Emirates</t>
  </si>
  <si>
    <t>Russian Federation</t>
  </si>
  <si>
    <t>Belgium</t>
  </si>
  <si>
    <t>Malta</t>
  </si>
  <si>
    <t>Greece</t>
  </si>
  <si>
    <t>France</t>
  </si>
  <si>
    <t>Bahamas</t>
  </si>
  <si>
    <t>Italy</t>
  </si>
  <si>
    <t>China</t>
  </si>
  <si>
    <t>Sweden</t>
  </si>
  <si>
    <t>Georgia</t>
  </si>
  <si>
    <t>Australia</t>
  </si>
  <si>
    <t>Pakistan</t>
  </si>
  <si>
    <t>Sint Eustatius</t>
  </si>
  <si>
    <t>United Kingdom</t>
  </si>
  <si>
    <t>Portugal</t>
  </si>
  <si>
    <t>Israel</t>
  </si>
  <si>
    <t>Chile</t>
  </si>
  <si>
    <t>Germany</t>
  </si>
  <si>
    <t>Algeria</t>
  </si>
  <si>
    <t>Argentina</t>
  </si>
  <si>
    <t>New Zealand</t>
  </si>
  <si>
    <t>Cyprus</t>
  </si>
  <si>
    <t>Mexico</t>
  </si>
  <si>
    <t>Croatia</t>
  </si>
  <si>
    <t>Peru</t>
  </si>
  <si>
    <t>Libya</t>
  </si>
  <si>
    <t>Ireland</t>
  </si>
  <si>
    <t>South Africa</t>
  </si>
  <si>
    <t>Tunisia</t>
  </si>
  <si>
    <t>Ukraine</t>
  </si>
  <si>
    <t>Philippines</t>
  </si>
  <si>
    <t>Egypt</t>
  </si>
  <si>
    <t>Romania</t>
  </si>
  <si>
    <t>Qatar</t>
  </si>
  <si>
    <t>Norway</t>
  </si>
  <si>
    <t>Unknown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</si>
  <si>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</si>
  <si>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</si>
  <si>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</si>
  <si>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</si>
  <si>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</si>
  <si>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</si>
  <si>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</si>
  <si>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</si>
  <si>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</si>
  <si>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</si>
  <si>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</si>
  <si>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</si>
  <si>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</si>
  <si>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</si>
  <si>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</si>
  <si>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</si>
  <si>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</si>
  <si>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</si>
  <si>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</si>
  <si>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</si>
  <si>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</si>
  <si>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</si>
  <si>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</si>
  <si>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</si>
  <si>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</si>
  <si>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</si>
  <si>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</si>
  <si>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</si>
  <si>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</si>
  <si>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</si>
  <si>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</si>
  <si>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</si>
  <si>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</si>
  <si>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</si>
  <si>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</si>
  <si>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</si>
  <si>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</si>
  <si>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</si>
  <si>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</si>
  <si>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</si>
  <si>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</si>
  <si>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</si>
  <si>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</si>
  <si>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</si>
  <si>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</si>
  <si>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</si>
  <si>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</si>
  <si>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</si>
  <si>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</si>
  <si>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</si>
  <si>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</si>
  <si>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</si>
  <si>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</si>
  <si>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</si>
  <si>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</si>
  <si>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</si>
  <si>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</si>
  <si>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</si>
  <si>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</si>
  <si>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</si>
  <si>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</si>
  <si>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ad-hoc</t>
  </si>
  <si>
    <t>Hong Kong</t>
  </si>
  <si>
    <t>Sri Lanka</t>
  </si>
  <si>
    <t>Papua New Guinea</t>
  </si>
  <si>
    <t>Cambodia</t>
  </si>
  <si>
    <t>Guam</t>
  </si>
  <si>
    <t>Brunei</t>
  </si>
  <si>
    <t>New Caledonia</t>
  </si>
  <si>
    <t>Saudi Arabia</t>
  </si>
  <si>
    <t>Bangladesh</t>
  </si>
  <si>
    <t>Mozambique</t>
  </si>
  <si>
    <t>United States Virgin Islands</t>
  </si>
  <si>
    <t>Mauritius</t>
  </si>
  <si>
    <t>Madagascar</t>
  </si>
  <si>
    <t>Kenya</t>
  </si>
  <si>
    <t>Micronesia</t>
  </si>
  <si>
    <t>Guatemala</t>
  </si>
  <si>
    <t>Nicaragua</t>
  </si>
  <si>
    <t>Togo</t>
  </si>
  <si>
    <t>Panama</t>
  </si>
  <si>
    <t>Maldives</t>
  </si>
  <si>
    <t>Reunion</t>
  </si>
  <si>
    <t>BUNKER SALES (in '000 tonnes)</t>
  </si>
  <si>
    <t>MDO</t>
  </si>
  <si>
    <t>Bio-blended MDO</t>
  </si>
  <si>
    <t>MGO</t>
  </si>
  <si>
    <t>Bio-blended MGO</t>
  </si>
  <si>
    <t>LSMGO</t>
  </si>
  <si>
    <t>Bio-blended LSMGO</t>
  </si>
  <si>
    <t>MFO</t>
  </si>
  <si>
    <t>Bio-blended MFO</t>
  </si>
  <si>
    <t>LSFO</t>
  </si>
  <si>
    <t>Bio-blended LSFO</t>
  </si>
  <si>
    <t>ULSFO</t>
  </si>
  <si>
    <t>Bio-blended ULSFO</t>
  </si>
  <si>
    <t>B100</t>
  </si>
  <si>
    <t>LNG</t>
  </si>
  <si>
    <t>Methanol</t>
  </si>
  <si>
    <t>Ammonia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</si>
  <si>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</si>
  <si>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</si>
  <si>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</si>
  <si>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</si>
  <si>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</si>
  <si>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</si>
  <si>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</si>
  <si>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</si>
  <si>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</si>
  <si>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</si>
  <si>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</si>
  <si>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</si>
  <si>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Feb*</t>
  </si>
  <si>
    <t>*Preliminary Estimates. Data includes delayed submissions declared by bunker suppliers.</t>
  </si>
  <si>
    <t xml:space="preserve">Note: Figures are based on latest available data at the time of publishing, and may be subject to revision at a later date. </t>
  </si>
  <si>
    <t>Note: 1.0% sulphur content for low sulphur fuel oil (LSFO) before 2015</t>
  </si>
  <si>
    <t>Note: Maximum Sulphur content of 0.50% m/m and below for Low Sulphur Fuel Oil (LSFO180cst, LSFO380cst, LSFO500cst).</t>
  </si>
  <si>
    <t xml:space="preserve">           Maximum Sulphur content of 0.10% m/m and below for Low Sulphur Marine Gas Oil (LSMGO) and Ultra Low Sulphur Fuel Oil (ULSFO) </t>
  </si>
  <si>
    <t>VLSFO FRACTION HELPER TABLE — feeds Balance Forecast row 4 (update monthly with new PSA data)</t>
  </si>
  <si>
    <t>Year</t>
  </si>
  <si>
    <t>Month</t>
  </si>
  <si>
    <t>LSFO+ULSFO (kt)</t>
  </si>
  <si>
    <t>MFO (kt)</t>
  </si>
  <si>
    <t>Raw Fraction</t>
  </si>
  <si>
    <t>Smoothed 3m Fraction</t>
  </si>
  <si>
    <t>Annual avg</t>
  </si>
  <si>
    <t>NOTE: When adding new year data (e.g. 2027), add a new annual row above then monthly rows below matching the pattern above. The Balance Forecast row 4 will auto-update via the VLOOKUP formula referencing column F of this table.</t>
  </si>
  <si>
    <t>Unit - Thousand Metric Tons (kmt)</t>
  </si>
  <si>
    <t>Product - Fuel oil</t>
  </si>
  <si>
    <t>BALANCE - Refinery output</t>
  </si>
  <si>
    <t>Time</t>
  </si>
  <si>
    <t>Jan2015</t>
  </si>
  <si>
    <t>Feb2015</t>
  </si>
  <si>
    <t>Mar2015</t>
  </si>
  <si>
    <t>Apr2015</t>
  </si>
  <si>
    <t>May2015</t>
  </si>
  <si>
    <t>Jun2015</t>
  </si>
  <si>
    <t>Jul2015</t>
  </si>
  <si>
    <t>Aug2015</t>
  </si>
  <si>
    <t>Sep2015</t>
  </si>
  <si>
    <t>Oct2015</t>
  </si>
  <si>
    <t>Nov2015</t>
  </si>
  <si>
    <t>Dec2015</t>
  </si>
  <si>
    <t>Jan2016</t>
  </si>
  <si>
    <t>Feb2016</t>
  </si>
  <si>
    <t>Mar2016</t>
  </si>
  <si>
    <t>Apr2016</t>
  </si>
  <si>
    <t>May2016</t>
  </si>
  <si>
    <t>Jun2016</t>
  </si>
  <si>
    <t>Jul2016</t>
  </si>
  <si>
    <t>Aug2016</t>
  </si>
  <si>
    <t>Sep2016</t>
  </si>
  <si>
    <t>Oct2016</t>
  </si>
  <si>
    <t>Nov2016</t>
  </si>
  <si>
    <t>Dec2016</t>
  </si>
  <si>
    <t>Jan2017</t>
  </si>
  <si>
    <t>Feb2017</t>
  </si>
  <si>
    <t>Mar2017</t>
  </si>
  <si>
    <t>Apr2017</t>
  </si>
  <si>
    <t>May2017</t>
  </si>
  <si>
    <t>Jun2017</t>
  </si>
  <si>
    <t>Jul2017</t>
  </si>
  <si>
    <t>Aug2017</t>
  </si>
  <si>
    <t>Sep2017</t>
  </si>
  <si>
    <t>Oct2017</t>
  </si>
  <si>
    <t>Nov2017</t>
  </si>
  <si>
    <t>Dec2017</t>
  </si>
  <si>
    <t>Jan2018</t>
  </si>
  <si>
    <t>Feb2018</t>
  </si>
  <si>
    <t>Mar2018</t>
  </si>
  <si>
    <t>Apr2018</t>
  </si>
  <si>
    <t>May2018</t>
  </si>
  <si>
    <t>Jun2018</t>
  </si>
  <si>
    <t>Jul2018</t>
  </si>
  <si>
    <t>Aug2018</t>
  </si>
  <si>
    <t>Sep2018</t>
  </si>
  <si>
    <t>Oct2018</t>
  </si>
  <si>
    <t>Nov2018</t>
  </si>
  <si>
    <t>Dec2018</t>
  </si>
  <si>
    <t>Jan2019</t>
  </si>
  <si>
    <t>Feb2019</t>
  </si>
  <si>
    <t>Mar2019</t>
  </si>
  <si>
    <t>Apr2019</t>
  </si>
  <si>
    <t>May2019</t>
  </si>
  <si>
    <t>Jun2019</t>
  </si>
  <si>
    <t>Jul2019</t>
  </si>
  <si>
    <t>Aug2019</t>
  </si>
  <si>
    <t>Sep2019</t>
  </si>
  <si>
    <t>Oct2019</t>
  </si>
  <si>
    <t>Nov2019</t>
  </si>
  <si>
    <t>Dec2019</t>
  </si>
  <si>
    <t>Jan2020</t>
  </si>
  <si>
    <t>Feb2020</t>
  </si>
  <si>
    <t>Mar2020</t>
  </si>
  <si>
    <t>Apr2020</t>
  </si>
  <si>
    <t>May2020</t>
  </si>
  <si>
    <t>Jun2020</t>
  </si>
  <si>
    <t>Jul2020</t>
  </si>
  <si>
    <t>Aug2020</t>
  </si>
  <si>
    <t>Sep2020</t>
  </si>
  <si>
    <t>Oct2020</t>
  </si>
  <si>
    <t>Nov2020</t>
  </si>
  <si>
    <t>Dec2020</t>
  </si>
  <si>
    <t>Jan2021</t>
  </si>
  <si>
    <t>Feb2021</t>
  </si>
  <si>
    <t>Mar2021</t>
  </si>
  <si>
    <t>Apr2021</t>
  </si>
  <si>
    <t>May2021</t>
  </si>
  <si>
    <t>Jun2021</t>
  </si>
  <si>
    <t>Jul2021</t>
  </si>
  <si>
    <t>Aug2021</t>
  </si>
  <si>
    <t>Sep2021</t>
  </si>
  <si>
    <t>Oct2021</t>
  </si>
  <si>
    <t>Nov2021</t>
  </si>
  <si>
    <t>Dec2021</t>
  </si>
  <si>
    <t>Jan2022</t>
  </si>
  <si>
    <t>Feb2022</t>
  </si>
  <si>
    <t>Mar2022</t>
  </si>
  <si>
    <t>Apr2022</t>
  </si>
  <si>
    <t>May2022</t>
  </si>
  <si>
    <t>Jun2022</t>
  </si>
  <si>
    <t>Jul2022</t>
  </si>
  <si>
    <t>Aug2022</t>
  </si>
  <si>
    <t>Sep2022</t>
  </si>
  <si>
    <t>Oct2022</t>
  </si>
  <si>
    <t>Nov2022</t>
  </si>
  <si>
    <t>Dec2022</t>
  </si>
  <si>
    <t>Jan2023</t>
  </si>
  <si>
    <t>Feb2023</t>
  </si>
  <si>
    <t>Mar2023</t>
  </si>
  <si>
    <t>Apr2023</t>
  </si>
  <si>
    <t>May2023</t>
  </si>
  <si>
    <t>Jun2023</t>
  </si>
  <si>
    <t>Jul2023</t>
  </si>
  <si>
    <t>Aug2023</t>
  </si>
  <si>
    <t>Sep2023</t>
  </si>
  <si>
    <t>Oct2023</t>
  </si>
  <si>
    <t>Nov2023</t>
  </si>
  <si>
    <t>Dec2023</t>
  </si>
  <si>
    <t>Jan2024</t>
  </si>
  <si>
    <t>Feb2024</t>
  </si>
  <si>
    <t>Mar2024</t>
  </si>
  <si>
    <t>Apr2024</t>
  </si>
  <si>
    <t>May2024</t>
  </si>
  <si>
    <t>Jun2024</t>
  </si>
  <si>
    <t>Jul2024</t>
  </si>
  <si>
    <t>Aug2024</t>
  </si>
  <si>
    <t>Sep2024</t>
  </si>
  <si>
    <t>Oct2024</t>
  </si>
  <si>
    <t>Nov2024</t>
  </si>
  <si>
    <t>Dec2024</t>
  </si>
  <si>
    <t>Jan2025</t>
  </si>
  <si>
    <t>Feb2025</t>
  </si>
  <si>
    <t>Mar2025</t>
  </si>
  <si>
    <t>Apr2025</t>
  </si>
  <si>
    <t>May2025</t>
  </si>
  <si>
    <t>Jun2025</t>
  </si>
  <si>
    <t>Jul2025</t>
  </si>
  <si>
    <t>Aug2025</t>
  </si>
  <si>
    <t>Sep2025</t>
  </si>
  <si>
    <t>Oct2025</t>
  </si>
  <si>
    <t>Nov2025</t>
  </si>
  <si>
    <t>Dec2025</t>
  </si>
  <si>
    <t>Jan2026</t>
  </si>
  <si>
    <t>Country</t>
  </si>
  <si>
    <t>-</t>
  </si>
  <si>
    <t>Singapore</t>
  </si>
  <si>
    <t>Bloomberg onshore storage</t>
  </si>
  <si>
    <t>Date</t>
  </si>
  <si>
    <t>Stock</t>
  </si>
  <si>
    <t>Daily</t>
  </si>
  <si>
    <t>SSGP599</t>
  </si>
  <si>
    <t>Weekly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</si>
  <si>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</si>
  <si>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</si>
  <si>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</si>
  <si>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</si>
  <si>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</si>
  <si>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</si>
  <si>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</si>
  <si>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</si>
  <si>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</si>
  <si>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</si>
  <si>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</si>
  <si>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</si>
  <si>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</si>
  <si>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</si>
  <si>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</si>
  <si>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</si>
  <si>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</si>
  <si>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</si>
  <si>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</si>
  <si>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</si>
  <si>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</si>
  <si>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</si>
  <si>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</si>
  <si>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</si>
  <si>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</si>
  <si>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</si>
  <si>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</si>
  <si>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</si>
  <si>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</si>
  <si>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</si>
  <si>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</si>
  <si>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</si>
  <si>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</si>
  <si>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</si>
  <si>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</si>
  <si>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</si>
  <si>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</si>
  <si>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</si>
  <si>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</si>
  <si>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</si>
  <si>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</si>
  <si>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</si>
  <si>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</si>
  <si>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</si>
  <si>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</si>
  <si>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</si>
  <si>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</si>
  <si>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</si>
  <si>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</si>
  <si>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</si>
  <si>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</si>
  <si>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</si>
  <si>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</si>
  <si>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</si>
  <si>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</si>
  <si>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</si>
  <si>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</si>
  <si>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</si>
  <si>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</si>
  <si>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</si>
  <si>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</si>
  <si>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</si>
  <si>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</si>
  <si>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</si>
  <si>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</si>
  <si>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</si>
  <si>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</si>
  <si>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</si>
  <si>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</si>
  <si>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</si>
  <si>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</si>
  <si>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</si>
  <si>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</si>
  <si>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</si>
  <si>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</si>
  <si>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</si>
  <si>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</si>
  <si>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</si>
  <si>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</si>
  <si>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</si>
  <si>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</si>
  <si>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</si>
  <si>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</si>
  <si>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</si>
  <si>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</si>
  <si>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</si>
  <si>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</si>
  <si>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</si>
  <si>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</si>
  <si>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</si>
  <si>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</si>
  <si>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</si>
  <si>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</si>
  <si>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</si>
  <si>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</si>
  <si>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</si>
  <si>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</si>
  <si>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</si>
  <si>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</si>
  <si>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</si>
  <si>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</si>
  <si>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</si>
  <si>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</si>
  <si>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2026-04-05</t>
  </si>
  <si>
    <t>2026-04-12</t>
  </si>
  <si>
    <t>On-shore storage (kbbl)</t>
  </si>
  <si>
    <t>On-shore storage (kt)</t>
  </si>
  <si>
    <t>Floating Stock</t>
  </si>
  <si>
    <t>Total Stock</t>
  </si>
  <si>
    <t>Stock Change</t>
  </si>
  <si>
    <t>Imports</t>
  </si>
  <si>
    <t>Exports</t>
  </si>
  <si>
    <t>Net Imports</t>
  </si>
  <si>
    <t>Singapore Bunker Sales</t>
  </si>
  <si>
    <t>Crude Imports</t>
  </si>
  <si>
    <t>Imports vs Bunker Sales</t>
  </si>
  <si>
    <t>Net Move vs Stock Move</t>
  </si>
  <si>
    <t>Predicted Stock</t>
  </si>
  <si>
    <t>Diff to actual</t>
  </si>
  <si>
    <t>Predicted MoM Stock Change</t>
  </si>
  <si>
    <t>Diff to Actual</t>
  </si>
  <si>
    <t>VLSFO Net Flow Indicator (kt) — directional guide for adjusting storage</t>
  </si>
  <si>
    <t>── FORECAST ASSUMPTIONS ──</t>
  </si>
  <si>
    <t>Annual Monthly Base (kt)</t>
  </si>
  <si>
    <t>Onshore Storage</t>
  </si>
  <si>
    <t>Forecast kbbl Target (long-run avg)</t>
  </si>
  <si>
    <t>Mean-reversion speed (0=none, 1=instant)</t>
  </si>
  <si>
    <t>Seasonal adjustment weight (0-1)</t>
  </si>
  <si>
    <t>VLSFO Bunker Sales</t>
  </si>
  <si>
    <t>Floating Stock Target</t>
  </si>
  <si>
    <t>Seasonal Index by Month  (Jan–Dec)</t>
  </si>
  <si>
    <t>Index</t>
  </si>
  <si>
    <t>VLSFO Bunker</t>
  </si>
  <si>
    <t>Onshore kbbl hist avg</t>
  </si>
  <si>
    <t>kbbl/mo</t>
  </si>
  <si>
    <t>NOTE: Onshore storage (kbbl) = total petroleum storage (all products). Forecast uses mean-reversion to long-run avg (E24) + seasonal pattern. Use row 21 VLSFO net flow as directional guide — a +500kt VLSFO net inflow typically corresponds to ~+3,000-5,000 kbbl total storage build.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</si>
  <si>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</si>
  <si>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</si>
  <si>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</si>
  <si>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</si>
  <si>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</si>
  <si>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</si>
  <si>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</si>
  <si>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</si>
  <si>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</si>
  <si>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</si>
  <si>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</si>
  <si>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</si>
  <si>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</si>
  <si>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</si>
  <si>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</si>
  <si>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</si>
  <si>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</si>
  <si>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</si>
  <si>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</si>
  <si>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</si>
  <si>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</si>
  <si>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</si>
  <si>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</si>
  <si>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</si>
  <si>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</si>
  <si>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</si>
  <si>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</si>
  <si>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</si>
  <si>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</si>
  <si>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</si>
  <si>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</si>
  <si>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</si>
  <si>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</si>
  <si>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</si>
  <si>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</si>
  <si>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</si>
  <si>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</si>
  <si>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</si>
  <si>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</si>
  <si>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</si>
  <si>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</si>
  <si>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</si>
  <si>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</si>
  <si>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</si>
  <si>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</si>
  <si>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</si>
  <si>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</si>
  <si>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</si>
  <si>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</si>
  <si>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</si>
  <si>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</si>
  <si>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</si>
  <si>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</si>
  <si>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</si>
  <si>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</si>
  <si>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</si>
  <si>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</si>
  <si>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</si>
  <si>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</si>
  <si>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</si>
  <si>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</si>
  <si>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</si>
  <si>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</si>
  <si>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</si>
  <si>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</si>
  <si>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</si>
  <si>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</si>
  <si>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</si>
  <si>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</si>
  <si>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</si>
  <si>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</si>
  <si>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</si>
  <si>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</si>
  <si>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</si>
  <si>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</si>
  <si>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</si>
  <si>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</si>
  <si>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</si>
  <si>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</si>
  <si>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</si>
  <si>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</si>
  <si>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</si>
  <si>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</si>
  <si>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</si>
  <si>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</si>
  <si>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</si>
  <si>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</si>
  <si>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</si>
  <si>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</si>
  <si>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</si>
  <si>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</si>
  <si>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</si>
  <si>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</si>
  <si>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</si>
  <si>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</si>
  <si>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</si>
  <si>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</si>
  <si>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</si>
  <si>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</si>
  <si>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</si>
  <si>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</si>
  <si>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</si>
  <si>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</si>
  <si>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</si>
  <si>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</si>
  <si>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</si>
  <si>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</si>
  <si>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</si>
  <si>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</si>
  <si>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</si>
  <si>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</si>
  <si>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</si>
  <si>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</si>
  <si>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</si>
  <si>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</si>
  <si>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</si>
  <si>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</si>
  <si>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</si>
  <si>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</si>
  <si>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</si>
  <si>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</si>
  <si>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</si>
  <si>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</si>
  <si>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</si>
  <si>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</si>
  <si>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</si>
  <si>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</si>
  <si>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</si>
  <si>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</si>
  <si>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</si>
  <si>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</si>
  <si>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</si>
  <si>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</si>
  <si>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</si>
  <si>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</si>
  <si>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</si>
  <si>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</si>
  <si>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</si>
  <si>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</si>
  <si>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</si>
  <si>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</si>
  <si>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</si>
  <si>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</si>
  <si>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</si>
  <si>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</si>
  <si>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</si>
  <si>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</si>
  <si>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</si>
  <si>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</si>
  <si>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</si>
  <si>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</si>
  <si>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</si>
  <si>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</si>
  <si>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</si>
  <si>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2023-12-17</t>
  </si>
  <si>
    <t>2023-12-24</t>
  </si>
  <si>
    <t>2023-12-31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</si>
  <si>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</si>
  <si>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</si>
  <si>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</si>
  <si>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</si>
  <si>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</si>
  <si>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</si>
  <si>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</si>
  <si>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</si>
  <si>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</si>
  <si>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</si>
  <si>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</si>
  <si>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</si>
  <si>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</si>
  <si>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</si>
  <si>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2026-04-16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</si>
</sst>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\-??_-;_-@_-"/>
    <numFmt numFmtId="165" formatCode="#,##0.0"/>
    <numFmt numFmtId="166" formatCode="#,##0.00000000"/>
    <numFmt numFmtId="167" formatCode="0.0%"/>
    <numFmt numFmtId="168" formatCode="0.0"/>
    <numFmt numFmtId="169" formatCode="m/d/yyyy"/>
    <numFmt numFmtId="170" formatCode="d\-mmm"/>
    <numFmt numFmtId="171" formatCode="yyyy\-mm\-dd;@"/>
    <numFmt numFmtId="172" formatCode="0.000"/>
    <numFmt numFmtId="173" formatCode="_-* #,##0_-;\-* #,##0_-;_-* &quot;-&quot;??_-;_-@_-"/>
  </numFmts>
  <fonts count="34" x14ac:knownFonts="1">
    <font>
      <sz val="12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3"/>
      <color theme="3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9C5700"/>
      <name val="Calibri"/>
      <family val="2"/>
      <charset val="1"/>
    </font>
    <font>
      <sz val="10"/>
      <name val="Arial"/>
      <family val="2"/>
      <charset val="1"/>
    </font>
    <font>
      <b/>
      <sz val="11"/>
      <color rgb="FF3F3F3F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rgb="FF1F3864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0"/>
      <color rgb="FF595959"/>
      <name val="Calibri"/>
      <family val="2"/>
      <charset val="1"/>
    </font>
    <font>
      <sz val="10"/>
      <color theme="1"/>
      <name val="Arial"/>
      <family val="2"/>
      <charset val="1"/>
    </font>
    <font>
      <sz val="12"/>
      <color rgb="FFFF0000"/>
      <name val="Calibri"/>
      <family val="2"/>
      <charset val="1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sz val="9"/>
      <name val="Arial"/>
      <family val="2"/>
    </font>
    <font>
      <i/>
      <sz val="8"/>
      <color rgb="FF595959"/>
      <name val="Arial"/>
      <family val="2"/>
    </font>
    <font>
      <sz val="8"/>
      <color rgb="FF595959"/>
      <name val="Arial"/>
      <family val="2"/>
    </font>
    <font>
      <b/>
      <sz val="9"/>
      <color rgb="FF1F4E7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12"/>
      <color theme="1"/>
      <name val="Calibri"/>
      <family val="2"/>
      <charset val="1"/>
    </font>
  </fonts>
  <fills count="42">
    <fill>
      <patternFill patternType="none"/>
    </fill>
    <fill>
      <patternFill patternType="gray125"/>
    </fill>
    <fill>
      <patternFill patternType="solid">
        <fgColor theme="4" tint="0.79989013336588644"/>
        <bgColor rgb="FFDEEAF1"/>
      </patternFill>
    </fill>
    <fill>
      <patternFill patternType="solid">
        <fgColor theme="5" tint="0.79989013336588644"/>
        <bgColor rgb="FFE6E0EC"/>
      </patternFill>
    </fill>
    <fill>
      <patternFill patternType="solid">
        <fgColor theme="6" tint="0.79989013336588644"/>
        <bgColor rgb="FFE2EFDA"/>
      </patternFill>
    </fill>
    <fill>
      <patternFill patternType="solid">
        <fgColor theme="7" tint="0.79989013336588644"/>
        <bgColor rgb="FFDCE6F2"/>
      </patternFill>
    </fill>
    <fill>
      <patternFill patternType="solid">
        <fgColor theme="8" tint="0.79989013336588644"/>
        <bgColor rgb="FFDEEAF1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4" tint="0.59987182226020086"/>
        <bgColor rgb="FFB7DEE8"/>
      </patternFill>
    </fill>
    <fill>
      <patternFill patternType="solid">
        <fgColor theme="5" tint="0.59987182226020086"/>
        <bgColor rgb="FFFAC090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7" tint="0.59987182226020086"/>
        <bgColor rgb="FFBFBFBF"/>
      </patternFill>
    </fill>
    <fill>
      <patternFill patternType="solid">
        <fgColor theme="8" tint="0.59987182226020086"/>
        <bgColor rgb="FFB9CDE5"/>
      </patternFill>
    </fill>
    <fill>
      <patternFill patternType="solid">
        <fgColor theme="9" tint="0.59987182226020086"/>
        <bgColor rgb="FFFFCC99"/>
      </patternFill>
    </fill>
    <fill>
      <patternFill patternType="solid">
        <fgColor theme="4" tint="0.39988402966399123"/>
        <bgColor rgb="FFB2B2B2"/>
      </patternFill>
    </fill>
    <fill>
      <patternFill patternType="solid">
        <fgColor theme="5" tint="0.39988402966399123"/>
        <bgColor rgb="FFB3A2C7"/>
      </patternFill>
    </fill>
    <fill>
      <patternFill patternType="solid">
        <fgColor theme="6" tint="0.39988402966399123"/>
        <bgColor rgb="FFD7E4BD"/>
      </patternFill>
    </fill>
    <fill>
      <patternFill patternType="solid">
        <fgColor theme="7" tint="0.39988402966399123"/>
        <bgColor rgb="FFA5A5A5"/>
      </patternFill>
    </fill>
    <fill>
      <patternFill patternType="solid">
        <fgColor theme="8" tint="0.39988402966399123"/>
        <bgColor rgb="FF97B5D9"/>
      </patternFill>
    </fill>
    <fill>
      <patternFill patternType="solid">
        <fgColor theme="9" tint="0.39988402966399123"/>
        <bgColor rgb="FFFFCC99"/>
      </patternFill>
    </fill>
    <fill>
      <patternFill patternType="solid">
        <fgColor theme="4"/>
        <bgColor rgb="FF2E75B6"/>
      </patternFill>
    </fill>
    <fill>
      <patternFill patternType="solid">
        <fgColor theme="5"/>
        <bgColor rgb="FF9C5700"/>
      </patternFill>
    </fill>
    <fill>
      <patternFill patternType="solid">
        <fgColor theme="6"/>
        <bgColor rgb="FF92D050"/>
      </patternFill>
    </fill>
    <fill>
      <patternFill patternType="solid">
        <fgColor theme="7"/>
        <bgColor rgb="FF9082A2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A7D00"/>
      </patternFill>
    </fill>
    <fill>
      <patternFill patternType="solid">
        <fgColor rgb="FFFFC7CE"/>
        <bgColor rgb="FFFCD5B5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B2B2B2"/>
      </patternFill>
    </fill>
    <fill>
      <patternFill patternType="solid">
        <fgColor rgb="FFC6EFCE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FFFF00"/>
        <bgColor rgb="FFFFEB9C"/>
      </patternFill>
    </fill>
    <fill>
      <patternFill patternType="solid">
        <fgColor theme="0" tint="-0.14999847407452621"/>
        <bgColor rgb="FFE6E0EC"/>
      </patternFill>
    </fill>
    <fill>
      <patternFill patternType="solid">
        <fgColor theme="0" tint="-0.249977111117893"/>
        <bgColor rgb="FFCCC1DA"/>
      </patternFill>
    </fill>
    <fill>
      <patternFill patternType="solid">
        <fgColor rgb="FF2E75B6"/>
        <bgColor rgb="FF4F81BD"/>
      </patternFill>
    </fill>
    <fill>
      <patternFill patternType="solid">
        <fgColor rgb="FFCCFFCC"/>
        <bgColor rgb="FFC6EFCE"/>
      </patternFill>
    </fill>
    <fill>
      <patternFill patternType="solid">
        <fgColor rgb="FFE2EFDA"/>
        <bgColor rgb="FFEBF1DE"/>
      </patternFill>
    </fill>
    <fill>
      <patternFill patternType="solid">
        <fgColor rgb="FFFF0000"/>
        <bgColor rgb="FF9C0006"/>
      </patternFill>
    </fill>
    <fill>
      <patternFill patternType="solid">
        <fgColor rgb="FFD6E4F0"/>
        <bgColor rgb="FFDCE6F2"/>
      </patternFill>
    </fill>
    <fill>
      <patternFill patternType="solid">
        <fgColor rgb="FFDEEAF1"/>
        <bgColor rgb="FFDCE6F2"/>
      </patternFill>
    </fill>
  </fills>
  <borders count="7">
    <border>
      <left/>
      <right/>
      <top/>
      <bottom/>
      <diagonal/>
    </border>
    <border>
      <left style="thin">
        <color rgb="FF9082A2"/>
      </left>
      <right style="thin">
        <color rgb="FF9082A2"/>
      </right>
      <top style="thin">
        <color rgb="FF9082A2"/>
      </top>
      <bottom style="thin">
        <color rgb="FF9082A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893185216834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9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11" borderId="0"/>
    <xf numFmtId="0" fontId="2" fillId="12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9" borderId="0"/>
    <xf numFmtId="0" fontId="3" fillId="20" borderId="0"/>
    <xf numFmtId="0" fontId="3" fillId="21" borderId="0"/>
    <xf numFmtId="0" fontId="3" fillId="22" borderId="0"/>
    <xf numFmtId="0" fontId="3" fillId="23" borderId="0"/>
    <xf numFmtId="0" fontId="3" fillId="24" borderId="0"/>
    <xf numFmtId="0" fontId="3" fillId="25" borderId="0"/>
    <xf numFmtId="0" fontId="4" fillId="26" borderId="0"/>
    <xf numFmtId="0" fontId="5" fillId="27" borderId="1"/>
    <xf numFmtId="0" fontId="6" fillId="28" borderId="2"/>
    <xf numFmtId="0" fontId="7" fillId="29" borderId="0"/>
    <xf numFmtId="0" fontId="8" fillId="0" borderId="3"/>
    <xf numFmtId="0" fontId="9" fillId="30" borderId="1"/>
    <xf numFmtId="0" fontId="10" fillId="31" borderId="0"/>
    <xf numFmtId="0" fontId="11" fillId="0" borderId="0"/>
    <xf numFmtId="0" fontId="2" fillId="0" borderId="0"/>
    <xf numFmtId="0" fontId="2" fillId="32" borderId="4"/>
    <xf numFmtId="0" fontId="12" fillId="27" borderId="5"/>
    <xf numFmtId="9" fontId="11" fillId="0" borderId="0"/>
    <xf numFmtId="0" fontId="13" fillId="0" borderId="0"/>
    <xf numFmtId="43" fontId="33" fillId="0" borderId="0" applyFont="0" applyFill="0" applyBorder="0" applyAlignment="0" applyProtection="0"/>
  </cellStyleXfs>
  <cellXfs count="69">
    <xf numFmtId="0" fontId="0" fillId="0" borderId="0" xfId="0"/>
    <xf numFmtId="0" fontId="0" fillId="33" borderId="0" xfId="0" applyFill="1"/>
    <xf numFmtId="164" fontId="0" fillId="0" borderId="0" xfId="0" applyNumberFormat="1"/>
    <xf numFmtId="0" fontId="0" fillId="34" borderId="0" xfId="0" applyFill="1"/>
    <xf numFmtId="17" fontId="0" fillId="34" borderId="0" xfId="0" applyNumberFormat="1" applyFill="1"/>
    <xf numFmtId="164" fontId="0" fillId="34" borderId="0" xfId="0" applyNumberFormat="1" applyFill="1"/>
    <xf numFmtId="0" fontId="0" fillId="35" borderId="0" xfId="0" applyFill="1"/>
    <xf numFmtId="17" fontId="0" fillId="35" borderId="0" xfId="0" applyNumberFormat="1" applyFill="1"/>
    <xf numFmtId="164" fontId="0" fillId="35" borderId="0" xfId="0" applyNumberFormat="1" applyFill="1"/>
    <xf numFmtId="0" fontId="11" fillId="0" borderId="0" xfId="0" applyFont="1"/>
    <xf numFmtId="0" fontId="14" fillId="0" borderId="0" xfId="0" applyFont="1"/>
    <xf numFmtId="0" fontId="15" fillId="0" borderId="0" xfId="0" applyFont="1"/>
    <xf numFmtId="0" fontId="15" fillId="0" borderId="6" xfId="0" applyFont="1" applyBorder="1"/>
    <xf numFmtId="0" fontId="14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4" fillId="0" borderId="6" xfId="0" applyFont="1" applyBorder="1" applyAlignment="1">
      <alignment horizontal="right"/>
    </xf>
    <xf numFmtId="165" fontId="15" fillId="0" borderId="6" xfId="0" applyNumberFormat="1" applyFont="1" applyBorder="1"/>
    <xf numFmtId="166" fontId="15" fillId="0" borderId="6" xfId="0" applyNumberFormat="1" applyFont="1" applyBorder="1"/>
    <xf numFmtId="2" fontId="15" fillId="0" borderId="6" xfId="0" applyNumberFormat="1" applyFont="1" applyBorder="1"/>
    <xf numFmtId="167" fontId="15" fillId="0" borderId="6" xfId="0" applyNumberFormat="1" applyFont="1" applyBorder="1"/>
    <xf numFmtId="0" fontId="14" fillId="0" borderId="6" xfId="0" applyFont="1" applyBorder="1"/>
    <xf numFmtId="0" fontId="15" fillId="0" borderId="6" xfId="0" applyFont="1" applyBorder="1" applyAlignment="1">
      <alignment horizontal="right"/>
    </xf>
    <xf numFmtId="168" fontId="15" fillId="0" borderId="6" xfId="0" applyNumberFormat="1" applyFont="1" applyBorder="1"/>
    <xf numFmtId="165" fontId="15" fillId="33" borderId="6" xfId="0" applyNumberFormat="1" applyFont="1" applyFill="1" applyBorder="1"/>
    <xf numFmtId="168" fontId="15" fillId="0" borderId="0" xfId="0" applyNumberFormat="1" applyFont="1"/>
    <xf numFmtId="0" fontId="17" fillId="0" borderId="0" xfId="0" applyFont="1"/>
    <xf numFmtId="0" fontId="18" fillId="0" borderId="0" xfId="0" applyFont="1" applyAlignment="1">
      <alignment vertical="center"/>
    </xf>
    <xf numFmtId="0" fontId="18" fillId="0" borderId="0" xfId="0" applyFont="1"/>
    <xf numFmtId="165" fontId="18" fillId="0" borderId="0" xfId="0" applyNumberFormat="1" applyFont="1"/>
    <xf numFmtId="0" fontId="19" fillId="0" borderId="0" xfId="0" applyFont="1"/>
    <xf numFmtId="0" fontId="20" fillId="36" borderId="0" xfId="0" applyFont="1" applyFill="1" applyAlignment="1">
      <alignment horizontal="center"/>
    </xf>
    <xf numFmtId="167" fontId="0" fillId="0" borderId="0" xfId="0" applyNumberFormat="1"/>
    <xf numFmtId="0" fontId="21" fillId="0" borderId="0" xfId="0" applyFont="1"/>
    <xf numFmtId="17" fontId="0" fillId="0" borderId="0" xfId="0" applyNumberFormat="1"/>
    <xf numFmtId="169" fontId="0" fillId="0" borderId="0" xfId="0" applyNumberFormat="1" applyAlignment="1">
      <alignment vertical="center" wrapText="1"/>
    </xf>
    <xf numFmtId="169" fontId="0" fillId="0" borderId="0" xfId="0" applyNumberFormat="1"/>
    <xf numFmtId="169" fontId="22" fillId="37" borderId="0" xfId="0" applyNumberFormat="1" applyFont="1" applyFill="1"/>
    <xf numFmtId="0" fontId="22" fillId="0" borderId="0" xfId="0" applyFont="1"/>
    <xf numFmtId="169" fontId="22" fillId="0" borderId="0" xfId="0" applyNumberFormat="1" applyFont="1"/>
    <xf numFmtId="170" fontId="0" fillId="0" borderId="0" xfId="0" applyNumberFormat="1"/>
    <xf numFmtId="169" fontId="0" fillId="33" borderId="0" xfId="0" applyNumberFormat="1" applyFill="1"/>
    <xf numFmtId="171" fontId="0" fillId="0" borderId="0" xfId="0" applyNumberFormat="1"/>
    <xf numFmtId="17" fontId="23" fillId="0" borderId="0" xfId="0" applyNumberFormat="1" applyFont="1"/>
    <xf numFmtId="3" fontId="24" fillId="38" borderId="0" xfId="0" applyNumberFormat="1" applyFont="1" applyFill="1"/>
    <xf numFmtId="164" fontId="24" fillId="35" borderId="0" xfId="0" applyNumberFormat="1" applyFont="1" applyFill="1"/>
    <xf numFmtId="3" fontId="25" fillId="0" borderId="0" xfId="0" applyNumberFormat="1" applyFont="1"/>
    <xf numFmtId="164" fontId="24" fillId="38" borderId="0" xfId="0" applyNumberFormat="1" applyFont="1" applyFill="1"/>
    <xf numFmtId="164" fontId="23" fillId="0" borderId="0" xfId="0" applyNumberFormat="1" applyFont="1"/>
    <xf numFmtId="0" fontId="0" fillId="10" borderId="0" xfId="0" applyFill="1"/>
    <xf numFmtId="164" fontId="0" fillId="39" borderId="0" xfId="0" applyNumberFormat="1" applyFill="1"/>
    <xf numFmtId="164" fontId="0" fillId="10" borderId="0" xfId="0" applyNumberFormat="1" applyFill="1"/>
    <xf numFmtId="10" fontId="0" fillId="0" borderId="0" xfId="0" applyNumberFormat="1"/>
    <xf numFmtId="0" fontId="27" fillId="0" borderId="0" xfId="0" applyFont="1"/>
    <xf numFmtId="3" fontId="28" fillId="0" borderId="0" xfId="0" applyNumberFormat="1" applyFont="1"/>
    <xf numFmtId="0" fontId="29" fillId="0" borderId="0" xfId="0" applyFont="1" applyAlignment="1">
      <alignment horizontal="left" vertical="center"/>
    </xf>
    <xf numFmtId="0" fontId="30" fillId="40" borderId="0" xfId="0" applyFont="1" applyFill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left" vertical="center"/>
    </xf>
    <xf numFmtId="3" fontId="25" fillId="41" borderId="0" xfId="0" applyNumberFormat="1" applyFont="1" applyFill="1"/>
    <xf numFmtId="0" fontId="26" fillId="0" borderId="0" xfId="0" applyFont="1"/>
    <xf numFmtId="2" fontId="25" fillId="41" borderId="0" xfId="0" applyNumberFormat="1" applyFont="1" applyFill="1"/>
    <xf numFmtId="0" fontId="32" fillId="36" borderId="0" xfId="0" applyFont="1" applyFill="1" applyAlignment="1">
      <alignment horizontal="center" vertical="center"/>
    </xf>
    <xf numFmtId="0" fontId="31" fillId="0" borderId="0" xfId="0" applyFont="1" applyAlignment="1">
      <alignment horizontal="left" vertical="center"/>
    </xf>
    <xf numFmtId="172" fontId="24" fillId="0" borderId="0" xfId="0" applyNumberFormat="1" applyFont="1"/>
    <xf numFmtId="0" fontId="26" fillId="0" borderId="0" xfId="0" applyFont="1" applyAlignment="1">
      <alignment horizontal="left" vertical="center"/>
    </xf>
    <xf numFmtId="3" fontId="24" fillId="0" borderId="0" xfId="0" applyNumberFormat="1" applyFont="1"/>
    <xf numFmtId="0" fontId="27" fillId="0" borderId="0" xfId="0" applyFont="1" applyAlignment="1">
      <alignment horizontal="left" vertical="center"/>
    </xf>
    <xf numFmtId="173" fontId="0" fillId="0" borderId="0" xfId="38" applyNumberFormat="1" applyFont="1"/>
  </cellXfs>
  <cellStyles count="39">
    <cellStyle name="20% - Accent1 2" xfId="1" xr:uid="{00000000-0005-0000-0000-000006000000}"/>
    <cellStyle name="20% - Accent2 2" xfId="2" xr:uid="{00000000-0005-0000-0000-000007000000}"/>
    <cellStyle name="20% - Accent3 2" xfId="3" xr:uid="{00000000-0005-0000-0000-000008000000}"/>
    <cellStyle name="20% - Accent4 2" xfId="4" xr:uid="{00000000-0005-0000-0000-000009000000}"/>
    <cellStyle name="20% - Accent5 2" xfId="5" xr:uid="{00000000-0005-0000-0000-00000A000000}"/>
    <cellStyle name="20% - Accent6 2" xfId="6" xr:uid="{00000000-0005-0000-0000-00000B000000}"/>
    <cellStyle name="40% - Accent1 2" xfId="7" xr:uid="{00000000-0005-0000-0000-00000C000000}"/>
    <cellStyle name="40% - Accent2 2" xfId="8" xr:uid="{00000000-0005-0000-0000-00000D000000}"/>
    <cellStyle name="40% - Accent3 2" xfId="9" xr:uid="{00000000-0005-0000-0000-00000E000000}"/>
    <cellStyle name="40% - Accent4 2" xfId="10" xr:uid="{00000000-0005-0000-0000-00000F000000}"/>
    <cellStyle name="40% - Accent5 2" xfId="11" xr:uid="{00000000-0005-0000-0000-000010000000}"/>
    <cellStyle name="40% - Accent6 2" xfId="12" xr:uid="{00000000-0005-0000-0000-000011000000}"/>
    <cellStyle name="60% - Accent1 2" xfId="13" xr:uid="{00000000-0005-0000-0000-000012000000}"/>
    <cellStyle name="60% - Accent2 2" xfId="14" xr:uid="{00000000-0005-0000-0000-000013000000}"/>
    <cellStyle name="60% - Accent3 2" xfId="15" xr:uid="{00000000-0005-0000-0000-000014000000}"/>
    <cellStyle name="60% - Accent4 2" xfId="16" xr:uid="{00000000-0005-0000-0000-000015000000}"/>
    <cellStyle name="60% - Accent5 2" xfId="17" xr:uid="{00000000-0005-0000-0000-000016000000}"/>
    <cellStyle name="60% - Accent6 2" xfId="18" xr:uid="{00000000-0005-0000-0000-000017000000}"/>
    <cellStyle name="Accent1 2" xfId="19" xr:uid="{00000000-0005-0000-0000-000018000000}"/>
    <cellStyle name="Accent2 2" xfId="20" xr:uid="{00000000-0005-0000-0000-000019000000}"/>
    <cellStyle name="Accent3 2" xfId="21" xr:uid="{00000000-0005-0000-0000-00001A000000}"/>
    <cellStyle name="Accent4 2" xfId="22" xr:uid="{00000000-0005-0000-0000-00001B000000}"/>
    <cellStyle name="Accent5 2" xfId="23" xr:uid="{00000000-0005-0000-0000-00001C000000}"/>
    <cellStyle name="Accent6 2" xfId="24" xr:uid="{00000000-0005-0000-0000-00001D000000}"/>
    <cellStyle name="Bad 2" xfId="25" xr:uid="{00000000-0005-0000-0000-00001E000000}"/>
    <cellStyle name="Calculation 2" xfId="26" xr:uid="{00000000-0005-0000-0000-00001F000000}"/>
    <cellStyle name="Check Cell 2" xfId="27" xr:uid="{00000000-0005-0000-0000-000020000000}"/>
    <cellStyle name="Comma" xfId="38" builtinId="3"/>
    <cellStyle name="Good 2" xfId="28" xr:uid="{00000000-0005-0000-0000-000021000000}"/>
    <cellStyle name="Heading 2 2" xfId="29" xr:uid="{00000000-0005-0000-0000-000022000000}"/>
    <cellStyle name="Input 2" xfId="30" xr:uid="{00000000-0005-0000-0000-000023000000}"/>
    <cellStyle name="Neutral 2" xfId="31" xr:uid="{00000000-0005-0000-0000-000024000000}"/>
    <cellStyle name="Normal" xfId="0" builtinId="0"/>
    <cellStyle name="Normal 2" xfId="32" xr:uid="{00000000-0005-0000-0000-000025000000}"/>
    <cellStyle name="Normal 3" xfId="33" xr:uid="{00000000-0005-0000-0000-000026000000}"/>
    <cellStyle name="Note 2" xfId="34" xr:uid="{00000000-0005-0000-0000-000027000000}"/>
    <cellStyle name="Output 2" xfId="35" xr:uid="{00000000-0005-0000-0000-000028000000}"/>
    <cellStyle name="Percent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D7E4BD"/>
      <rgbColor rgb="FF0000FF"/>
      <rgbColor rgb="FFFFFF00"/>
      <rgbColor rgb="FFCCC1DA"/>
      <rgbColor rgb="FFC6EFCE"/>
      <rgbColor rgb="FF9C0006"/>
      <rgbColor rgb="FF006100"/>
      <rgbColor rgb="FFFDEADA"/>
      <rgbColor rgb="FF9BBB59"/>
      <rgbColor rgb="FFF2DCDB"/>
      <rgbColor rgb="FF1F497D"/>
      <rgbColor rgb="FFBFBFBF"/>
      <rgbColor rgb="FF9082A2"/>
      <rgbColor rgb="FF97B5D9"/>
      <rgbColor rgb="FFC0504D"/>
      <rgbColor rgb="FFFFFFCC"/>
      <rgbColor rgb="FFDBEEF4"/>
      <rgbColor rgb="FFD6E4F0"/>
      <rgbColor rgb="FFD99694"/>
      <rgbColor rgb="FF214E78"/>
      <rgbColor rgb="FFB9CDE5"/>
      <rgbColor rgb="FFF2F2F2"/>
      <rgbColor rgb="FFFFC7CE"/>
      <rgbColor rgb="FFFCD5B5"/>
      <rgbColor rgb="FFC3D69B"/>
      <rgbColor rgb="FFE6E0EC"/>
      <rgbColor rgb="FFE2EFDA"/>
      <rgbColor rgb="FFB2B2B2"/>
      <rgbColor rgb="FFEBF1DE"/>
      <rgbColor rgb="FFB7DEE8"/>
      <rgbColor rgb="FFDEEAF1"/>
      <rgbColor rgb="FFCCFFCC"/>
      <rgbColor rgb="FFFFEB9C"/>
      <rgbColor rgb="FF93CDDD"/>
      <rgbColor rgb="FFE6B9B8"/>
      <rgbColor rgb="FFB3A2C7"/>
      <rgbColor rgb="FFFFCC99"/>
      <rgbColor rgb="FF2E75B6"/>
      <rgbColor rgb="FF4BACC6"/>
      <rgbColor rgb="FF92D050"/>
      <rgbColor rgb="FFFAC090"/>
      <rgbColor rgb="FFF79646"/>
      <rgbColor rgb="FFFA7D00"/>
      <rgbColor rgb="FF8064A2"/>
      <rgbColor rgb="FFA5A5A5"/>
      <rgbColor rgb="FF1F3864"/>
      <rgbColor rgb="FF4F81BD"/>
      <rgbColor rgb="FFDCE6F2"/>
      <rgbColor rgb="FFD9D9D9"/>
      <rgbColor rgb="FF9C5700"/>
      <rgbColor rgb="FF595959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GB" sz="1400" b="0" strike="noStrike" spc="-1">
                <a:solidFill>
                  <a:srgbClr val="595959"/>
                </a:solidFill>
                <a:latin typeface="Calibri"/>
              </a:rPr>
              <a:t>Singapore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Forecast'!$A$18</c:f>
              <c:strCache>
                <c:ptCount val="1"/>
                <c:pt idx="0">
                  <c:v>Predicted MoM Stock Change</c:v>
                </c:pt>
              </c:strCache>
            </c:strRef>
          </c:tx>
          <c:spPr>
            <a:solidFill>
              <a:srgbClr val="9983B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Forecast'!$AE$18:$BR$18</c:f>
              <c:numCache>
                <c:formatCode>_-* #,##0_-;\-* #,##0_-;_-* \-??_-;_-@_-</c:formatCode>
                <c:ptCount val="40"/>
                <c:pt idx="0">
                  <c:v>275.49273031531948</c:v>
                </c:pt>
                <c:pt idx="1">
                  <c:v>-262.88878038625899</c:v>
                </c:pt>
                <c:pt idx="2">
                  <c:v>133.71196834538659</c:v>
                </c:pt>
                <c:pt idx="3">
                  <c:v>-93.50891018547054</c:v>
                </c:pt>
                <c:pt idx="4">
                  <c:v>468.85355308928274</c:v>
                </c:pt>
                <c:pt idx="5">
                  <c:v>-195.10217349695267</c:v>
                </c:pt>
                <c:pt idx="6">
                  <c:v>51.0529401382787</c:v>
                </c:pt>
                <c:pt idx="7">
                  <c:v>215.30233638318668</c:v>
                </c:pt>
                <c:pt idx="8">
                  <c:v>48.042381846935768</c:v>
                </c:pt>
                <c:pt idx="9">
                  <c:v>-694.37891495397525</c:v>
                </c:pt>
                <c:pt idx="10">
                  <c:v>882.8597076449696</c:v>
                </c:pt>
                <c:pt idx="11">
                  <c:v>-1408.5822070299637</c:v>
                </c:pt>
                <c:pt idx="12">
                  <c:v>440.85819938865552</c:v>
                </c:pt>
                <c:pt idx="13">
                  <c:v>-61.203480713838417</c:v>
                </c:pt>
                <c:pt idx="14">
                  <c:v>454.70219106708782</c:v>
                </c:pt>
                <c:pt idx="15">
                  <c:v>-1067.0197335447792</c:v>
                </c:pt>
                <c:pt idx="16">
                  <c:v>1437.8202498034498</c:v>
                </c:pt>
                <c:pt idx="17">
                  <c:v>-374.82943467811629</c:v>
                </c:pt>
                <c:pt idx="18">
                  <c:v>333.6511656776679</c:v>
                </c:pt>
                <c:pt idx="19">
                  <c:v>-916.66121234644561</c:v>
                </c:pt>
                <c:pt idx="20">
                  <c:v>680.3903283937816</c:v>
                </c:pt>
                <c:pt idx="21">
                  <c:v>-865.73687596542959</c:v>
                </c:pt>
                <c:pt idx="22">
                  <c:v>475.551750964848</c:v>
                </c:pt>
                <c:pt idx="23">
                  <c:v>-20.227206668387225</c:v>
                </c:pt>
                <c:pt idx="24">
                  <c:v>474.14698261953572</c:v>
                </c:pt>
                <c:pt idx="25">
                  <c:v>-244.5867633188218</c:v>
                </c:pt>
                <c:pt idx="26">
                  <c:v>-665.41256216566671</c:v>
                </c:pt>
                <c:pt idx="27">
                  <c:v>99.295718071017291</c:v>
                </c:pt>
                <c:pt idx="28">
                  <c:v>82.818042526139379</c:v>
                </c:pt>
                <c:pt idx="29">
                  <c:v>714.75254625019261</c:v>
                </c:pt>
                <c:pt idx="30">
                  <c:v>-1160.4641674156946</c:v>
                </c:pt>
                <c:pt idx="31">
                  <c:v>972.06743412635979</c:v>
                </c:pt>
                <c:pt idx="32">
                  <c:v>-490.64053963980859</c:v>
                </c:pt>
                <c:pt idx="33">
                  <c:v>438.86124723478224</c:v>
                </c:pt>
                <c:pt idx="34">
                  <c:v>-341.12952755905553</c:v>
                </c:pt>
                <c:pt idx="35">
                  <c:v>-329.5007874015746</c:v>
                </c:pt>
                <c:pt idx="36">
                  <c:v>482.79448818897617</c:v>
                </c:pt>
                <c:pt idx="37">
                  <c:v>-305.44803149606287</c:v>
                </c:pt>
                <c:pt idx="38">
                  <c:v>-117.15157480314974</c:v>
                </c:pt>
                <c:pt idx="39">
                  <c:v>-255.62047244094447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6-49FA-B500-2891F2742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764631"/>
        <c:axId val="24523353"/>
      </c:barChart>
      <c:lineChart>
        <c:grouping val="standard"/>
        <c:varyColors val="0"/>
        <c:ser>
          <c:idx val="1"/>
          <c:order val="1"/>
          <c:tx>
            <c:strRef>
              <c:f>'Balance Forecast'!$A$6</c:f>
              <c:strCache>
                <c:ptCount val="1"/>
                <c:pt idx="0">
                  <c:v>Total Stock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Forecast'!$AE$6:$BR$6</c:f>
              <c:numCache>
                <c:formatCode>_-* #,##0_-;\-* #,##0_-;_-* \-??_-;_-@_-</c:formatCode>
                <c:ptCount val="40"/>
                <c:pt idx="0">
                  <c:v>4018.7179057538933</c:v>
                </c:pt>
                <c:pt idx="1">
                  <c:v>3723.7759869092797</c:v>
                </c:pt>
                <c:pt idx="2">
                  <c:v>3569.1720693928091</c:v>
                </c:pt>
                <c:pt idx="3">
                  <c:v>4171.1803916904246</c:v>
                </c:pt>
                <c:pt idx="4">
                  <c:v>4335.5991335994731</c:v>
                </c:pt>
                <c:pt idx="5">
                  <c:v>4230.0492747877506</c:v>
                </c:pt>
                <c:pt idx="6">
                  <c:v>4146.318657339938</c:v>
                </c:pt>
                <c:pt idx="7">
                  <c:v>4268.4458449608737</c:v>
                </c:pt>
                <c:pt idx="8">
                  <c:v>4179.1028739958983</c:v>
                </c:pt>
                <c:pt idx="9">
                  <c:v>4354.4382489868676</c:v>
                </c:pt>
                <c:pt idx="10">
                  <c:v>3805.2664699699044</c:v>
                </c:pt>
                <c:pt idx="11">
                  <c:v>3566.9756847355607</c:v>
                </c:pt>
                <c:pt idx="12">
                  <c:v>3289.5393931137214</c:v>
                </c:pt>
                <c:pt idx="13">
                  <c:v>3519.7319470268094</c:v>
                </c:pt>
                <c:pt idx="14">
                  <c:v>3361.7180583380296</c:v>
                </c:pt>
                <c:pt idx="15">
                  <c:v>4478.5633774894804</c:v>
                </c:pt>
                <c:pt idx="16">
                  <c:v>3738.0896535723627</c:v>
                </c:pt>
                <c:pt idx="17">
                  <c:v>3384.6670819990313</c:v>
                </c:pt>
                <c:pt idx="18">
                  <c:v>3503.7561810305856</c:v>
                </c:pt>
                <c:pt idx="19">
                  <c:v>3701.4745947263673</c:v>
                </c:pt>
                <c:pt idx="20">
                  <c:v>3294.3969327019381</c:v>
                </c:pt>
                <c:pt idx="21">
                  <c:v>3520.4269946687855</c:v>
                </c:pt>
                <c:pt idx="22">
                  <c:v>3488.5426782473978</c:v>
                </c:pt>
                <c:pt idx="23">
                  <c:v>3829.8990968669341</c:v>
                </c:pt>
                <c:pt idx="24">
                  <c:v>3963.1399975481127</c:v>
                </c:pt>
                <c:pt idx="25">
                  <c:v>3776.0773307004456</c:v>
                </c:pt>
                <c:pt idx="26">
                  <c:v>3867.8938178784629</c:v>
                </c:pt>
                <c:pt idx="27">
                  <c:v>3964.3172340626024</c:v>
                </c:pt>
                <c:pt idx="28">
                  <c:v>3320.9197803127945</c:v>
                </c:pt>
                <c:pt idx="29">
                  <c:v>3539.6056128971004</c:v>
                </c:pt>
                <c:pt idx="30">
                  <c:v>3678.59700894046</c:v>
                </c:pt>
                <c:pt idx="31">
                  <c:v>3673.0564693006518</c:v>
                </c:pt>
                <c:pt idx="32">
                  <c:v>3553.0677165354336</c:v>
                </c:pt>
                <c:pt idx="33">
                  <c:v>3537.1881889763781</c:v>
                </c:pt>
                <c:pt idx="34">
                  <c:v>3483.3874015748033</c:v>
                </c:pt>
                <c:pt idx="35">
                  <c:v>3460.9818897637797</c:v>
                </c:pt>
                <c:pt idx="36">
                  <c:v>3441.1338582677172</c:v>
                </c:pt>
                <c:pt idx="37">
                  <c:v>3421.7322834645674</c:v>
                </c:pt>
                <c:pt idx="38">
                  <c:v>3404.7118110236224</c:v>
                </c:pt>
                <c:pt idx="39">
                  <c:v>3671.3952755905516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26-49FA-B500-2891F2742FB1}"/>
            </c:ext>
          </c:extLst>
        </c:ser>
        <c:ser>
          <c:idx val="2"/>
          <c:order val="2"/>
          <c:tx>
            <c:strRef>
              <c:f>'Balance Forecast'!$A$8</c:f>
              <c:strCache>
                <c:ptCount val="1"/>
                <c:pt idx="0">
                  <c:v>Imports</c:v>
                </c:pt>
              </c:strCache>
            </c:strRef>
          </c:tx>
          <c:spPr>
            <a:ln w="28440" cap="rnd">
              <a:solidFill>
                <a:srgbClr val="F796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Forecast'!$AE$8:$BR$8</c:f>
              <c:numCache>
                <c:formatCode>_-* #,##0_-;\-* #,##0_-;_-* \-??_-;_-@_-</c:formatCode>
                <c:ptCount val="40"/>
                <c:pt idx="0">
                  <c:v>2049.5175955469999</c:v>
                </c:pt>
                <c:pt idx="1">
                  <c:v>1936.640175</c:v>
                </c:pt>
                <c:pt idx="2">
                  <c:v>2197.855149</c:v>
                </c:pt>
                <c:pt idx="3">
                  <c:v>1954.6796939999999</c:v>
                </c:pt>
                <c:pt idx="4">
                  <c:v>2485.3538610000001</c:v>
                </c:pt>
                <c:pt idx="5">
                  <c:v>1590.3912982500001</c:v>
                </c:pt>
                <c:pt idx="6">
                  <c:v>2089.3441469999998</c:v>
                </c:pt>
                <c:pt idx="7">
                  <c:v>1701.8330444999999</c:v>
                </c:pt>
                <c:pt idx="8">
                  <c:v>2017.4523509999999</c:v>
                </c:pt>
                <c:pt idx="9">
                  <c:v>1376.9372465399999</c:v>
                </c:pt>
                <c:pt idx="10">
                  <c:v>1565.761587</c:v>
                </c:pt>
                <c:pt idx="11">
                  <c:v>1341.0047196</c:v>
                </c:pt>
                <c:pt idx="12">
                  <c:v>1444.9437225300001</c:v>
                </c:pt>
                <c:pt idx="13">
                  <c:v>2099.5375356</c:v>
                </c:pt>
                <c:pt idx="14">
                  <c:v>2331.0103650000001</c:v>
                </c:pt>
                <c:pt idx="15">
                  <c:v>1864.314723</c:v>
                </c:pt>
                <c:pt idx="16">
                  <c:v>1392.101379</c:v>
                </c:pt>
                <c:pt idx="17">
                  <c:v>1268.5921559999999</c:v>
                </c:pt>
                <c:pt idx="18">
                  <c:v>1913.160936</c:v>
                </c:pt>
                <c:pt idx="19">
                  <c:v>1323.08826</c:v>
                </c:pt>
                <c:pt idx="20">
                  <c:v>1848.2865690000001</c:v>
                </c:pt>
                <c:pt idx="21">
                  <c:v>1471.854141</c:v>
                </c:pt>
                <c:pt idx="22">
                  <c:v>1922.6909069999999</c:v>
                </c:pt>
                <c:pt idx="23">
                  <c:v>1808.5480829999999</c:v>
                </c:pt>
                <c:pt idx="24">
                  <c:v>1623.227664</c:v>
                </c:pt>
                <c:pt idx="25">
                  <c:v>1556</c:v>
                </c:pt>
                <c:pt idx="26">
                  <c:v>1411</c:v>
                </c:pt>
                <c:pt idx="27">
                  <c:v>1628</c:v>
                </c:pt>
                <c:pt idx="28">
                  <c:v>1778</c:v>
                </c:pt>
                <c:pt idx="29">
                  <c:v>2361</c:v>
                </c:pt>
                <c:pt idx="30">
                  <c:v>831</c:v>
                </c:pt>
                <c:pt idx="31">
                  <c:v>1683</c:v>
                </c:pt>
                <c:pt idx="32">
                  <c:v>1719</c:v>
                </c:pt>
                <c:pt idx="33">
                  <c:v>1947</c:v>
                </c:pt>
                <c:pt idx="34">
                  <c:v>1634</c:v>
                </c:pt>
                <c:pt idx="35">
                  <c:v>1668</c:v>
                </c:pt>
                <c:pt idx="36">
                  <c:v>1731</c:v>
                </c:pt>
                <c:pt idx="37">
                  <c:v>1834</c:v>
                </c:pt>
                <c:pt idx="38">
                  <c:v>1664</c:v>
                </c:pt>
                <c:pt idx="39">
                  <c:v>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26-49FA-B500-2891F2742FB1}"/>
            </c:ext>
          </c:extLst>
        </c:ser>
        <c:ser>
          <c:idx val="3"/>
          <c:order val="3"/>
          <c:tx>
            <c:strRef>
              <c:f>'Balance Forecast'!$A$9</c:f>
              <c:strCache>
                <c:ptCount val="1"/>
                <c:pt idx="0">
                  <c:v>Exports</c:v>
                </c:pt>
              </c:strCache>
            </c:strRef>
          </c:tx>
          <c:spPr>
            <a:ln w="28440" cap="rnd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Forecast'!$AE$9:$BR$9</c:f>
              <c:numCache>
                <c:formatCode>_-* #,##0_-;\-* #,##0_-;_-* \-??_-;_-@_-</c:formatCode>
                <c:ptCount val="40"/>
                <c:pt idx="0">
                  <c:v>776.65412100000003</c:v>
                </c:pt>
                <c:pt idx="1">
                  <c:v>826.11468000000002</c:v>
                </c:pt>
                <c:pt idx="2">
                  <c:v>504.09086400000001</c:v>
                </c:pt>
                <c:pt idx="3">
                  <c:v>675.70166700000004</c:v>
                </c:pt>
                <c:pt idx="4">
                  <c:v>850.46598600000004</c:v>
                </c:pt>
                <c:pt idx="5">
                  <c:v>461.25926000999999</c:v>
                </c:pt>
                <c:pt idx="6">
                  <c:v>761.04440699999998</c:v>
                </c:pt>
                <c:pt idx="7">
                  <c:v>728.86161600000003</c:v>
                </c:pt>
                <c:pt idx="8">
                  <c:v>788.87542199999996</c:v>
                </c:pt>
                <c:pt idx="9">
                  <c:v>665.88637698000002</c:v>
                </c:pt>
                <c:pt idx="10">
                  <c:v>367.25147399999997</c:v>
                </c:pt>
                <c:pt idx="11">
                  <c:v>721.07197499999995</c:v>
                </c:pt>
                <c:pt idx="12">
                  <c:v>734.92994699999997</c:v>
                </c:pt>
                <c:pt idx="13">
                  <c:v>730.83272517</c:v>
                </c:pt>
                <c:pt idx="14">
                  <c:v>806.11800300000004</c:v>
                </c:pt>
                <c:pt idx="15">
                  <c:v>1070.874501</c:v>
                </c:pt>
                <c:pt idx="16">
                  <c:v>682.81609800000001</c:v>
                </c:pt>
                <c:pt idx="17">
                  <c:v>327.930477</c:v>
                </c:pt>
                <c:pt idx="18">
                  <c:v>497</c:v>
                </c:pt>
                <c:pt idx="19">
                  <c:v>582</c:v>
                </c:pt>
                <c:pt idx="20">
                  <c:v>314</c:v>
                </c:pt>
                <c:pt idx="21">
                  <c:v>442.25113800000003</c:v>
                </c:pt>
                <c:pt idx="22">
                  <c:v>731</c:v>
                </c:pt>
                <c:pt idx="23">
                  <c:v>750.94098299999996</c:v>
                </c:pt>
                <c:pt idx="24">
                  <c:v>702</c:v>
                </c:pt>
                <c:pt idx="25">
                  <c:v>845</c:v>
                </c:pt>
                <c:pt idx="26">
                  <c:v>687</c:v>
                </c:pt>
                <c:pt idx="27">
                  <c:v>492</c:v>
                </c:pt>
                <c:pt idx="28">
                  <c:v>944</c:v>
                </c:pt>
                <c:pt idx="29">
                  <c:v>583</c:v>
                </c:pt>
                <c:pt idx="30">
                  <c:v>516</c:v>
                </c:pt>
                <c:pt idx="31">
                  <c:v>523</c:v>
                </c:pt>
                <c:pt idx="32">
                  <c:v>558</c:v>
                </c:pt>
                <c:pt idx="33">
                  <c:v>519</c:v>
                </c:pt>
                <c:pt idx="34">
                  <c:v>510</c:v>
                </c:pt>
                <c:pt idx="35">
                  <c:v>683</c:v>
                </c:pt>
                <c:pt idx="36">
                  <c:v>626</c:v>
                </c:pt>
                <c:pt idx="37">
                  <c:v>720</c:v>
                </c:pt>
                <c:pt idx="38">
                  <c:v>670</c:v>
                </c:pt>
                <c:pt idx="39">
                  <c:v>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26-49FA-B500-2891F2742FB1}"/>
            </c:ext>
          </c:extLst>
        </c:ser>
        <c:ser>
          <c:idx val="4"/>
          <c:order val="4"/>
          <c:tx>
            <c:strRef>
              <c:f>'Balance Forecast'!$A$12</c:f>
              <c:strCache>
                <c:ptCount val="1"/>
                <c:pt idx="0">
                  <c:v>Crude Imports</c:v>
                </c:pt>
              </c:strCache>
            </c:strRef>
          </c:tx>
          <c:spPr>
            <a:ln w="28440" cap="rnd">
              <a:solidFill>
                <a:srgbClr val="C3D69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Forecast'!$AE$12:$BR$12</c:f>
              <c:numCache>
                <c:formatCode>_-* #,##0_-;\-* #,##0_-;_-* "-"??_-;_-@_-</c:formatCode>
                <c:ptCount val="40"/>
                <c:pt idx="0">
                  <c:v>566.50149964600007</c:v>
                </c:pt>
                <c:pt idx="1">
                  <c:v>521.936421</c:v>
                </c:pt>
                <c:pt idx="2">
                  <c:v>232.15151818999999</c:v>
                </c:pt>
                <c:pt idx="3">
                  <c:v>742.48278352099999</c:v>
                </c:pt>
                <c:pt idx="4" formatCode="_-* #,##0_-;\-* #,##0_-;_-* \-??_-;_-@_-">
                  <c:v>566.50149964599996</c:v>
                </c:pt>
                <c:pt idx="5" formatCode="_-* #,##0_-;\-* #,##0_-;_-* \-??_-;_-@_-">
                  <c:v>521.936421</c:v>
                </c:pt>
                <c:pt idx="6" formatCode="_-* #,##0_-;\-* #,##0_-;_-* \-??_-;_-@_-">
                  <c:v>232.15151818999999</c:v>
                </c:pt>
                <c:pt idx="7" formatCode="_-* #,##0_-;\-* #,##0_-;_-* \-??_-;_-@_-">
                  <c:v>742.48278352099999</c:v>
                </c:pt>
                <c:pt idx="8" formatCode="_-* #,##0_-;\-* #,##0_-;_-* \-??_-;_-@_-">
                  <c:v>862.22247724700003</c:v>
                </c:pt>
                <c:pt idx="9" formatCode="_-* #,##0_-;\-* #,##0_-;_-* \-??_-;_-@_-">
                  <c:v>454.61259269800001</c:v>
                </c:pt>
                <c:pt idx="10" formatCode="_-* #,##0_-;\-* #,##0_-;_-* \-??_-;_-@_-">
                  <c:v>850.74768191199996</c:v>
                </c:pt>
                <c:pt idx="11" formatCode="_-* #,##0_-;\-* #,##0_-;_-* \-??_-;_-@_-">
                  <c:v>507.17462229900002</c:v>
                </c:pt>
                <c:pt idx="12" formatCode="_-* #,##0_-;\-* #,##0_-;_-* \-??_-;_-@_-">
                  <c:v>853.73257599199997</c:v>
                </c:pt>
                <c:pt idx="13" formatCode="_-* #,##0_-;\-* #,##0_-;_-* \-??_-;_-@_-">
                  <c:v>679.40435200000002</c:v>
                </c:pt>
                <c:pt idx="14" formatCode="_-* #,##0_-;\-* #,##0_-;_-* \-??_-;_-@_-">
                  <c:v>681.26643758399996</c:v>
                </c:pt>
                <c:pt idx="15" formatCode="_-* #,##0_-;\-* #,##0_-;_-* \-??_-;_-@_-">
                  <c:v>541.48273272799997</c:v>
                </c:pt>
                <c:pt idx="16" formatCode="_-* #,##0_-;\-* #,##0_-;_-* \-??_-;_-@_-">
                  <c:v>937.90260437999996</c:v>
                </c:pt>
                <c:pt idx="17" formatCode="_-* #,##0_-;\-* #,##0_-;_-* \-??_-;_-@_-">
                  <c:v>702.06049561899999</c:v>
                </c:pt>
                <c:pt idx="18" formatCode="_-* #,##0_-;\-* #,##0_-;_-* \-??_-;_-@_-">
                  <c:v>1096.5649758699999</c:v>
                </c:pt>
                <c:pt idx="19" formatCode="_-* #,##0_-;\-* #,##0_-;_-* \-??_-;_-@_-">
                  <c:v>699.64734049200001</c:v>
                </c:pt>
                <c:pt idx="20" formatCode="_-* #,##0_-;\-* #,##0_-;_-* \-??_-;_-@_-">
                  <c:v>732.70094618999997</c:v>
                </c:pt>
                <c:pt idx="21" formatCode="_-* #,##0_-;\-* #,##0_-;_-* \-??_-;_-@_-">
                  <c:v>499.91529824899999</c:v>
                </c:pt>
                <c:pt idx="22" formatCode="_-* #,##0_-;\-* #,##0_-;_-* \-??_-;_-@_-">
                  <c:v>638.70908324699997</c:v>
                </c:pt>
                <c:pt idx="23" formatCode="_-* #,##0_-;\-* #,##0_-;_-* \-??_-;_-@_-">
                  <c:v>925</c:v>
                </c:pt>
                <c:pt idx="24" formatCode="_-* #,##0_-;\-* #,##0_-;_-* \-??_-;_-@_-">
                  <c:v>1064</c:v>
                </c:pt>
                <c:pt idx="25" formatCode="_-* #,##0_-;\-* #,##0_-;_-* \-??_-;_-@_-">
                  <c:v>1021</c:v>
                </c:pt>
                <c:pt idx="26" formatCode="_-* #,##0_-;\-* #,##0_-;_-* \-??_-;_-@_-">
                  <c:v>618.40010468200012</c:v>
                </c:pt>
                <c:pt idx="27" formatCode="_-* #,##0_-;\-* #,##0_-;_-* \-??_-;_-@_-">
                  <c:v>534.47933557500005</c:v>
                </c:pt>
                <c:pt idx="28" formatCode="_-* #,##0_-;\-* #,##0_-;_-* \-??_-;_-@_-">
                  <c:v>674.77396191700007</c:v>
                </c:pt>
                <c:pt idx="29" formatCode="_-* #,##0_-;\-* #,##0_-;_-* \-??_-;_-@_-">
                  <c:v>674.77396191700007</c:v>
                </c:pt>
                <c:pt idx="30" formatCode="_-* #,##0_-;\-* #,##0_-;_-* \-??_-;_-@_-">
                  <c:v>674.77396191700007</c:v>
                </c:pt>
                <c:pt idx="31" formatCode="_-* #,##0_-;\-* #,##0_-;_-* \-??_-;_-@_-">
                  <c:v>740</c:v>
                </c:pt>
                <c:pt idx="32" formatCode="_-* #,##0_-;\-* #,##0_-;_-* \-??_-;_-@_-">
                  <c:v>620</c:v>
                </c:pt>
                <c:pt idx="33" formatCode="_-* #,##0_-;\-* #,##0_-;_-* \-??_-;_-@_-">
                  <c:v>651</c:v>
                </c:pt>
                <c:pt idx="34" formatCode="_-* #,##0_-;\-* #,##0_-;_-* \-??_-;_-@_-">
                  <c:v>647</c:v>
                </c:pt>
                <c:pt idx="35" formatCode="_-* #,##0_-;\-* #,##0_-;_-* \-??_-;_-@_-">
                  <c:v>665</c:v>
                </c:pt>
                <c:pt idx="36" formatCode="_-* #,##0_-;\-* #,##0_-;_-* \-??_-;_-@_-">
                  <c:v>896</c:v>
                </c:pt>
                <c:pt idx="37" formatCode="_-* #,##0_-;\-* #,##0_-;_-* \-??_-;_-@_-">
                  <c:v>705</c:v>
                </c:pt>
                <c:pt idx="38" formatCode="_-* #,##0_-;\-* #,##0_-;_-* \-??_-;_-@_-">
                  <c:v>812</c:v>
                </c:pt>
                <c:pt idx="39" formatCode="_-* #,##0_-;\-* #,##0_-;_-* \-??_-;_-@_-">
                  <c:v>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26-49FA-B500-2891F2742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690762"/>
        <c:axId val="15296717"/>
      </c:lineChart>
      <c:dateAx>
        <c:axId val="8876463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4523353"/>
        <c:crosses val="autoZero"/>
        <c:auto val="1"/>
        <c:lblOffset val="100"/>
        <c:baseTimeUnit val="months"/>
      </c:dateAx>
      <c:valAx>
        <c:axId val="24523353"/>
        <c:scaling>
          <c:orientation val="minMax"/>
          <c:max val="1200"/>
        </c:scaling>
        <c:delete val="0"/>
        <c:axPos val="r"/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Predicted MoM Stock change (Kt)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_-;\-* #,##0_-;_-* \-??_-;_-@_-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8764631"/>
        <c:crosses val="max"/>
        <c:crossBetween val="between"/>
        <c:majorUnit val="500"/>
      </c:valAx>
      <c:dateAx>
        <c:axId val="97690762"/>
        <c:scaling>
          <c:orientation val="minMax"/>
          <c:min val="45658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296717"/>
        <c:crosses val="autoZero"/>
        <c:auto val="1"/>
        <c:lblOffset val="100"/>
        <c:baseTimeUnit val="months"/>
      </c:dateAx>
      <c:valAx>
        <c:axId val="1529671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Volume (kt)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76907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GB" sz="1400" b="0" strike="noStrike" spc="-1">
                <a:solidFill>
                  <a:srgbClr val="595959"/>
                </a:solidFill>
                <a:latin typeface="Calibri"/>
              </a:rPr>
              <a:t>Singapore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Forecast'!$A$18</c:f>
              <c:strCache>
                <c:ptCount val="1"/>
                <c:pt idx="0">
                  <c:v>Predicted MoM Stock Change</c:v>
                </c:pt>
              </c:strCache>
            </c:strRef>
          </c:tx>
          <c:spPr>
            <a:solidFill>
              <a:srgbClr val="9983B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Forecast'!$AE$18:$BR$18</c:f>
              <c:numCache>
                <c:formatCode>_-* #,##0_-;\-* #,##0_-;_-* \-??_-;_-@_-</c:formatCode>
                <c:ptCount val="40"/>
                <c:pt idx="0">
                  <c:v>275.49273031531948</c:v>
                </c:pt>
                <c:pt idx="1">
                  <c:v>-262.88878038625899</c:v>
                </c:pt>
                <c:pt idx="2">
                  <c:v>133.71196834538659</c:v>
                </c:pt>
                <c:pt idx="3">
                  <c:v>-93.50891018547054</c:v>
                </c:pt>
                <c:pt idx="4">
                  <c:v>468.85355308928274</c:v>
                </c:pt>
                <c:pt idx="5">
                  <c:v>-195.10217349695267</c:v>
                </c:pt>
                <c:pt idx="6">
                  <c:v>51.0529401382787</c:v>
                </c:pt>
                <c:pt idx="7">
                  <c:v>215.30233638318668</c:v>
                </c:pt>
                <c:pt idx="8">
                  <c:v>48.042381846935768</c:v>
                </c:pt>
                <c:pt idx="9">
                  <c:v>-694.37891495397525</c:v>
                </c:pt>
                <c:pt idx="10">
                  <c:v>882.8597076449696</c:v>
                </c:pt>
                <c:pt idx="11">
                  <c:v>-1408.5822070299637</c:v>
                </c:pt>
                <c:pt idx="12">
                  <c:v>440.85819938865552</c:v>
                </c:pt>
                <c:pt idx="13">
                  <c:v>-61.203480713838417</c:v>
                </c:pt>
                <c:pt idx="14">
                  <c:v>454.70219106708782</c:v>
                </c:pt>
                <c:pt idx="15">
                  <c:v>-1067.0197335447792</c:v>
                </c:pt>
                <c:pt idx="16">
                  <c:v>1437.8202498034498</c:v>
                </c:pt>
                <c:pt idx="17">
                  <c:v>-374.82943467811629</c:v>
                </c:pt>
                <c:pt idx="18">
                  <c:v>333.6511656776679</c:v>
                </c:pt>
                <c:pt idx="19">
                  <c:v>-916.66121234644561</c:v>
                </c:pt>
                <c:pt idx="20">
                  <c:v>680.3903283937816</c:v>
                </c:pt>
                <c:pt idx="21">
                  <c:v>-865.73687596542959</c:v>
                </c:pt>
                <c:pt idx="22">
                  <c:v>475.551750964848</c:v>
                </c:pt>
                <c:pt idx="23">
                  <c:v>-20.227206668387225</c:v>
                </c:pt>
                <c:pt idx="24">
                  <c:v>474.14698261953572</c:v>
                </c:pt>
                <c:pt idx="25">
                  <c:v>-244.5867633188218</c:v>
                </c:pt>
                <c:pt idx="26">
                  <c:v>-665.41256216566671</c:v>
                </c:pt>
                <c:pt idx="27">
                  <c:v>99.295718071017291</c:v>
                </c:pt>
                <c:pt idx="28">
                  <c:v>82.818042526139379</c:v>
                </c:pt>
                <c:pt idx="29">
                  <c:v>714.75254625019261</c:v>
                </c:pt>
                <c:pt idx="30">
                  <c:v>-1160.4641674156946</c:v>
                </c:pt>
                <c:pt idx="31">
                  <c:v>972.06743412635979</c:v>
                </c:pt>
                <c:pt idx="32">
                  <c:v>-490.64053963980859</c:v>
                </c:pt>
                <c:pt idx="33">
                  <c:v>438.86124723478224</c:v>
                </c:pt>
                <c:pt idx="34">
                  <c:v>-341.12952755905553</c:v>
                </c:pt>
                <c:pt idx="35">
                  <c:v>-329.5007874015746</c:v>
                </c:pt>
                <c:pt idx="36">
                  <c:v>482.79448818897617</c:v>
                </c:pt>
                <c:pt idx="37">
                  <c:v>-305.44803149606287</c:v>
                </c:pt>
                <c:pt idx="38">
                  <c:v>-117.15157480314974</c:v>
                </c:pt>
                <c:pt idx="39">
                  <c:v>-255.62047244094447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D-4444-996C-E7B5EF210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19543"/>
        <c:axId val="74221325"/>
      </c:barChart>
      <c:lineChart>
        <c:grouping val="standard"/>
        <c:varyColors val="0"/>
        <c:ser>
          <c:idx val="1"/>
          <c:order val="1"/>
          <c:tx>
            <c:strRef>
              <c:f>'Balance Forecast'!$A$6</c:f>
              <c:strCache>
                <c:ptCount val="1"/>
                <c:pt idx="0">
                  <c:v>Total Stock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Forecast'!$AE$6:$BR$6</c:f>
              <c:numCache>
                <c:formatCode>_-* #,##0_-;\-* #,##0_-;_-* \-??_-;_-@_-</c:formatCode>
                <c:ptCount val="40"/>
                <c:pt idx="0">
                  <c:v>4018.7179057538933</c:v>
                </c:pt>
                <c:pt idx="1">
                  <c:v>3723.7759869092797</c:v>
                </c:pt>
                <c:pt idx="2">
                  <c:v>3569.1720693928091</c:v>
                </c:pt>
                <c:pt idx="3">
                  <c:v>4171.1803916904246</c:v>
                </c:pt>
                <c:pt idx="4">
                  <c:v>4335.5991335994731</c:v>
                </c:pt>
                <c:pt idx="5">
                  <c:v>4230.0492747877506</c:v>
                </c:pt>
                <c:pt idx="6">
                  <c:v>4146.318657339938</c:v>
                </c:pt>
                <c:pt idx="7">
                  <c:v>4268.4458449608737</c:v>
                </c:pt>
                <c:pt idx="8">
                  <c:v>4179.1028739958983</c:v>
                </c:pt>
                <c:pt idx="9">
                  <c:v>4354.4382489868676</c:v>
                </c:pt>
                <c:pt idx="10">
                  <c:v>3805.2664699699044</c:v>
                </c:pt>
                <c:pt idx="11">
                  <c:v>3566.9756847355607</c:v>
                </c:pt>
                <c:pt idx="12">
                  <c:v>3289.5393931137214</c:v>
                </c:pt>
                <c:pt idx="13">
                  <c:v>3519.7319470268094</c:v>
                </c:pt>
                <c:pt idx="14">
                  <c:v>3361.7180583380296</c:v>
                </c:pt>
                <c:pt idx="15">
                  <c:v>4478.5633774894804</c:v>
                </c:pt>
                <c:pt idx="16">
                  <c:v>3738.0896535723627</c:v>
                </c:pt>
                <c:pt idx="17">
                  <c:v>3384.6670819990313</c:v>
                </c:pt>
                <c:pt idx="18">
                  <c:v>3503.7561810305856</c:v>
                </c:pt>
                <c:pt idx="19">
                  <c:v>3701.4745947263673</c:v>
                </c:pt>
                <c:pt idx="20">
                  <c:v>3294.3969327019381</c:v>
                </c:pt>
                <c:pt idx="21">
                  <c:v>3520.4269946687855</c:v>
                </c:pt>
                <c:pt idx="22">
                  <c:v>3488.5426782473978</c:v>
                </c:pt>
                <c:pt idx="23">
                  <c:v>3829.8990968669341</c:v>
                </c:pt>
                <c:pt idx="24">
                  <c:v>3963.1399975481127</c:v>
                </c:pt>
                <c:pt idx="25">
                  <c:v>3776.0773307004456</c:v>
                </c:pt>
                <c:pt idx="26">
                  <c:v>3867.8938178784629</c:v>
                </c:pt>
                <c:pt idx="27">
                  <c:v>3964.3172340626024</c:v>
                </c:pt>
                <c:pt idx="28">
                  <c:v>3320.9197803127945</c:v>
                </c:pt>
                <c:pt idx="29">
                  <c:v>3539.6056128971004</c:v>
                </c:pt>
                <c:pt idx="30">
                  <c:v>3678.59700894046</c:v>
                </c:pt>
                <c:pt idx="31">
                  <c:v>3673.0564693006518</c:v>
                </c:pt>
                <c:pt idx="32">
                  <c:v>3553.0677165354336</c:v>
                </c:pt>
                <c:pt idx="33">
                  <c:v>3537.1881889763781</c:v>
                </c:pt>
                <c:pt idx="34">
                  <c:v>3483.3874015748033</c:v>
                </c:pt>
                <c:pt idx="35">
                  <c:v>3460.9818897637797</c:v>
                </c:pt>
                <c:pt idx="36">
                  <c:v>3441.1338582677172</c:v>
                </c:pt>
                <c:pt idx="37">
                  <c:v>3421.7322834645674</c:v>
                </c:pt>
                <c:pt idx="38">
                  <c:v>3404.7118110236224</c:v>
                </c:pt>
                <c:pt idx="39">
                  <c:v>3671.3952755905516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CD-4444-996C-E7B5EF210434}"/>
            </c:ext>
          </c:extLst>
        </c:ser>
        <c:ser>
          <c:idx val="2"/>
          <c:order val="2"/>
          <c:tx>
            <c:strRef>
              <c:f>'Balance Forecast'!$A$8</c:f>
              <c:strCache>
                <c:ptCount val="1"/>
                <c:pt idx="0">
                  <c:v>Imports</c:v>
                </c:pt>
              </c:strCache>
            </c:strRef>
          </c:tx>
          <c:spPr>
            <a:ln w="28440" cap="rnd">
              <a:solidFill>
                <a:srgbClr val="F796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Forecast'!$AE$8:$BR$8</c:f>
              <c:numCache>
                <c:formatCode>_-* #,##0_-;\-* #,##0_-;_-* \-??_-;_-@_-</c:formatCode>
                <c:ptCount val="40"/>
                <c:pt idx="0">
                  <c:v>2049.5175955469999</c:v>
                </c:pt>
                <c:pt idx="1">
                  <c:v>1936.640175</c:v>
                </c:pt>
                <c:pt idx="2">
                  <c:v>2197.855149</c:v>
                </c:pt>
                <c:pt idx="3">
                  <c:v>1954.6796939999999</c:v>
                </c:pt>
                <c:pt idx="4">
                  <c:v>2485.3538610000001</c:v>
                </c:pt>
                <c:pt idx="5">
                  <c:v>1590.3912982500001</c:v>
                </c:pt>
                <c:pt idx="6">
                  <c:v>2089.3441469999998</c:v>
                </c:pt>
                <c:pt idx="7">
                  <c:v>1701.8330444999999</c:v>
                </c:pt>
                <c:pt idx="8">
                  <c:v>2017.4523509999999</c:v>
                </c:pt>
                <c:pt idx="9">
                  <c:v>1376.9372465399999</c:v>
                </c:pt>
                <c:pt idx="10">
                  <c:v>1565.761587</c:v>
                </c:pt>
                <c:pt idx="11">
                  <c:v>1341.0047196</c:v>
                </c:pt>
                <c:pt idx="12">
                  <c:v>1444.9437225300001</c:v>
                </c:pt>
                <c:pt idx="13">
                  <c:v>2099.5375356</c:v>
                </c:pt>
                <c:pt idx="14">
                  <c:v>2331.0103650000001</c:v>
                </c:pt>
                <c:pt idx="15">
                  <c:v>1864.314723</c:v>
                </c:pt>
                <c:pt idx="16">
                  <c:v>1392.101379</c:v>
                </c:pt>
                <c:pt idx="17">
                  <c:v>1268.5921559999999</c:v>
                </c:pt>
                <c:pt idx="18">
                  <c:v>1913.160936</c:v>
                </c:pt>
                <c:pt idx="19">
                  <c:v>1323.08826</c:v>
                </c:pt>
                <c:pt idx="20">
                  <c:v>1848.2865690000001</c:v>
                </c:pt>
                <c:pt idx="21">
                  <c:v>1471.854141</c:v>
                </c:pt>
                <c:pt idx="22">
                  <c:v>1922.6909069999999</c:v>
                </c:pt>
                <c:pt idx="23">
                  <c:v>1808.5480829999999</c:v>
                </c:pt>
                <c:pt idx="24">
                  <c:v>1623.227664</c:v>
                </c:pt>
                <c:pt idx="25">
                  <c:v>1556</c:v>
                </c:pt>
                <c:pt idx="26">
                  <c:v>1411</c:v>
                </c:pt>
                <c:pt idx="27">
                  <c:v>1628</c:v>
                </c:pt>
                <c:pt idx="28">
                  <c:v>1778</c:v>
                </c:pt>
                <c:pt idx="29">
                  <c:v>2361</c:v>
                </c:pt>
                <c:pt idx="30">
                  <c:v>831</c:v>
                </c:pt>
                <c:pt idx="31">
                  <c:v>1683</c:v>
                </c:pt>
                <c:pt idx="32">
                  <c:v>1719</c:v>
                </c:pt>
                <c:pt idx="33">
                  <c:v>1947</c:v>
                </c:pt>
                <c:pt idx="34">
                  <c:v>1634</c:v>
                </c:pt>
                <c:pt idx="35">
                  <c:v>1668</c:v>
                </c:pt>
                <c:pt idx="36">
                  <c:v>1731</c:v>
                </c:pt>
                <c:pt idx="37">
                  <c:v>1834</c:v>
                </c:pt>
                <c:pt idx="38">
                  <c:v>1664</c:v>
                </c:pt>
                <c:pt idx="39">
                  <c:v>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CD-4444-996C-E7B5EF210434}"/>
            </c:ext>
          </c:extLst>
        </c:ser>
        <c:ser>
          <c:idx val="3"/>
          <c:order val="3"/>
          <c:tx>
            <c:strRef>
              <c:f>'Balance Forecast'!$A$9</c:f>
              <c:strCache>
                <c:ptCount val="1"/>
                <c:pt idx="0">
                  <c:v>Exports</c:v>
                </c:pt>
              </c:strCache>
            </c:strRef>
          </c:tx>
          <c:spPr>
            <a:ln w="28440" cap="rnd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Forecast'!$AE$9:$BR$9</c:f>
              <c:numCache>
                <c:formatCode>_-* #,##0_-;\-* #,##0_-;_-* \-??_-;_-@_-</c:formatCode>
                <c:ptCount val="40"/>
                <c:pt idx="0">
                  <c:v>776.65412100000003</c:v>
                </c:pt>
                <c:pt idx="1">
                  <c:v>826.11468000000002</c:v>
                </c:pt>
                <c:pt idx="2">
                  <c:v>504.09086400000001</c:v>
                </c:pt>
                <c:pt idx="3">
                  <c:v>675.70166700000004</c:v>
                </c:pt>
                <c:pt idx="4">
                  <c:v>850.46598600000004</c:v>
                </c:pt>
                <c:pt idx="5">
                  <c:v>461.25926000999999</c:v>
                </c:pt>
                <c:pt idx="6">
                  <c:v>761.04440699999998</c:v>
                </c:pt>
                <c:pt idx="7">
                  <c:v>728.86161600000003</c:v>
                </c:pt>
                <c:pt idx="8">
                  <c:v>788.87542199999996</c:v>
                </c:pt>
                <c:pt idx="9">
                  <c:v>665.88637698000002</c:v>
                </c:pt>
                <c:pt idx="10">
                  <c:v>367.25147399999997</c:v>
                </c:pt>
                <c:pt idx="11">
                  <c:v>721.07197499999995</c:v>
                </c:pt>
                <c:pt idx="12">
                  <c:v>734.92994699999997</c:v>
                </c:pt>
                <c:pt idx="13">
                  <c:v>730.83272517</c:v>
                </c:pt>
                <c:pt idx="14">
                  <c:v>806.11800300000004</c:v>
                </c:pt>
                <c:pt idx="15">
                  <c:v>1070.874501</c:v>
                </c:pt>
                <c:pt idx="16">
                  <c:v>682.81609800000001</c:v>
                </c:pt>
                <c:pt idx="17">
                  <c:v>327.930477</c:v>
                </c:pt>
                <c:pt idx="18">
                  <c:v>497</c:v>
                </c:pt>
                <c:pt idx="19">
                  <c:v>582</c:v>
                </c:pt>
                <c:pt idx="20">
                  <c:v>314</c:v>
                </c:pt>
                <c:pt idx="21">
                  <c:v>442.25113800000003</c:v>
                </c:pt>
                <c:pt idx="22">
                  <c:v>731</c:v>
                </c:pt>
                <c:pt idx="23">
                  <c:v>750.94098299999996</c:v>
                </c:pt>
                <c:pt idx="24">
                  <c:v>702</c:v>
                </c:pt>
                <c:pt idx="25">
                  <c:v>845</c:v>
                </c:pt>
                <c:pt idx="26">
                  <c:v>687</c:v>
                </c:pt>
                <c:pt idx="27">
                  <c:v>492</c:v>
                </c:pt>
                <c:pt idx="28">
                  <c:v>944</c:v>
                </c:pt>
                <c:pt idx="29">
                  <c:v>583</c:v>
                </c:pt>
                <c:pt idx="30">
                  <c:v>516</c:v>
                </c:pt>
                <c:pt idx="31">
                  <c:v>523</c:v>
                </c:pt>
                <c:pt idx="32">
                  <c:v>558</c:v>
                </c:pt>
                <c:pt idx="33">
                  <c:v>519</c:v>
                </c:pt>
                <c:pt idx="34">
                  <c:v>510</c:v>
                </c:pt>
                <c:pt idx="35">
                  <c:v>683</c:v>
                </c:pt>
                <c:pt idx="36">
                  <c:v>626</c:v>
                </c:pt>
                <c:pt idx="37">
                  <c:v>720</c:v>
                </c:pt>
                <c:pt idx="38">
                  <c:v>670</c:v>
                </c:pt>
                <c:pt idx="39">
                  <c:v>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CD-4444-996C-E7B5EF210434}"/>
            </c:ext>
          </c:extLst>
        </c:ser>
        <c:ser>
          <c:idx val="4"/>
          <c:order val="4"/>
          <c:tx>
            <c:strRef>
              <c:f>'Balance Forecast'!$A$12</c:f>
              <c:strCache>
                <c:ptCount val="1"/>
                <c:pt idx="0">
                  <c:v>Crude Imports</c:v>
                </c:pt>
              </c:strCache>
            </c:strRef>
          </c:tx>
          <c:spPr>
            <a:ln w="28440" cap="rnd">
              <a:solidFill>
                <a:srgbClr val="C3D69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Forecast'!$AE$12:$BR$12</c:f>
              <c:numCache>
                <c:formatCode>_-* #,##0_-;\-* #,##0_-;_-* "-"??_-;_-@_-</c:formatCode>
                <c:ptCount val="40"/>
                <c:pt idx="0">
                  <c:v>566.50149964600007</c:v>
                </c:pt>
                <c:pt idx="1">
                  <c:v>521.936421</c:v>
                </c:pt>
                <c:pt idx="2">
                  <c:v>232.15151818999999</c:v>
                </c:pt>
                <c:pt idx="3">
                  <c:v>742.48278352099999</c:v>
                </c:pt>
                <c:pt idx="4" formatCode="_-* #,##0_-;\-* #,##0_-;_-* \-??_-;_-@_-">
                  <c:v>566.50149964599996</c:v>
                </c:pt>
                <c:pt idx="5" formatCode="_-* #,##0_-;\-* #,##0_-;_-* \-??_-;_-@_-">
                  <c:v>521.936421</c:v>
                </c:pt>
                <c:pt idx="6" formatCode="_-* #,##0_-;\-* #,##0_-;_-* \-??_-;_-@_-">
                  <c:v>232.15151818999999</c:v>
                </c:pt>
                <c:pt idx="7" formatCode="_-* #,##0_-;\-* #,##0_-;_-* \-??_-;_-@_-">
                  <c:v>742.48278352099999</c:v>
                </c:pt>
                <c:pt idx="8" formatCode="_-* #,##0_-;\-* #,##0_-;_-* \-??_-;_-@_-">
                  <c:v>862.22247724700003</c:v>
                </c:pt>
                <c:pt idx="9" formatCode="_-* #,##0_-;\-* #,##0_-;_-* \-??_-;_-@_-">
                  <c:v>454.61259269800001</c:v>
                </c:pt>
                <c:pt idx="10" formatCode="_-* #,##0_-;\-* #,##0_-;_-* \-??_-;_-@_-">
                  <c:v>850.74768191199996</c:v>
                </c:pt>
                <c:pt idx="11" formatCode="_-* #,##0_-;\-* #,##0_-;_-* \-??_-;_-@_-">
                  <c:v>507.17462229900002</c:v>
                </c:pt>
                <c:pt idx="12" formatCode="_-* #,##0_-;\-* #,##0_-;_-* \-??_-;_-@_-">
                  <c:v>853.73257599199997</c:v>
                </c:pt>
                <c:pt idx="13" formatCode="_-* #,##0_-;\-* #,##0_-;_-* \-??_-;_-@_-">
                  <c:v>679.40435200000002</c:v>
                </c:pt>
                <c:pt idx="14" formatCode="_-* #,##0_-;\-* #,##0_-;_-* \-??_-;_-@_-">
                  <c:v>681.26643758399996</c:v>
                </c:pt>
                <c:pt idx="15" formatCode="_-* #,##0_-;\-* #,##0_-;_-* \-??_-;_-@_-">
                  <c:v>541.48273272799997</c:v>
                </c:pt>
                <c:pt idx="16" formatCode="_-* #,##0_-;\-* #,##0_-;_-* \-??_-;_-@_-">
                  <c:v>937.90260437999996</c:v>
                </c:pt>
                <c:pt idx="17" formatCode="_-* #,##0_-;\-* #,##0_-;_-* \-??_-;_-@_-">
                  <c:v>702.06049561899999</c:v>
                </c:pt>
                <c:pt idx="18" formatCode="_-* #,##0_-;\-* #,##0_-;_-* \-??_-;_-@_-">
                  <c:v>1096.5649758699999</c:v>
                </c:pt>
                <c:pt idx="19" formatCode="_-* #,##0_-;\-* #,##0_-;_-* \-??_-;_-@_-">
                  <c:v>699.64734049200001</c:v>
                </c:pt>
                <c:pt idx="20" formatCode="_-* #,##0_-;\-* #,##0_-;_-* \-??_-;_-@_-">
                  <c:v>732.70094618999997</c:v>
                </c:pt>
                <c:pt idx="21" formatCode="_-* #,##0_-;\-* #,##0_-;_-* \-??_-;_-@_-">
                  <c:v>499.91529824899999</c:v>
                </c:pt>
                <c:pt idx="22" formatCode="_-* #,##0_-;\-* #,##0_-;_-* \-??_-;_-@_-">
                  <c:v>638.70908324699997</c:v>
                </c:pt>
                <c:pt idx="23" formatCode="_-* #,##0_-;\-* #,##0_-;_-* \-??_-;_-@_-">
                  <c:v>925</c:v>
                </c:pt>
                <c:pt idx="24" formatCode="_-* #,##0_-;\-* #,##0_-;_-* \-??_-;_-@_-">
                  <c:v>1064</c:v>
                </c:pt>
                <c:pt idx="25" formatCode="_-* #,##0_-;\-* #,##0_-;_-* \-??_-;_-@_-">
                  <c:v>1021</c:v>
                </c:pt>
                <c:pt idx="26" formatCode="_-* #,##0_-;\-* #,##0_-;_-* \-??_-;_-@_-">
                  <c:v>618.40010468200012</c:v>
                </c:pt>
                <c:pt idx="27" formatCode="_-* #,##0_-;\-* #,##0_-;_-* \-??_-;_-@_-">
                  <c:v>534.47933557500005</c:v>
                </c:pt>
                <c:pt idx="28" formatCode="_-* #,##0_-;\-* #,##0_-;_-* \-??_-;_-@_-">
                  <c:v>674.77396191700007</c:v>
                </c:pt>
                <c:pt idx="29" formatCode="_-* #,##0_-;\-* #,##0_-;_-* \-??_-;_-@_-">
                  <c:v>674.77396191700007</c:v>
                </c:pt>
                <c:pt idx="30" formatCode="_-* #,##0_-;\-* #,##0_-;_-* \-??_-;_-@_-">
                  <c:v>674.77396191700007</c:v>
                </c:pt>
                <c:pt idx="31" formatCode="_-* #,##0_-;\-* #,##0_-;_-* \-??_-;_-@_-">
                  <c:v>740</c:v>
                </c:pt>
                <c:pt idx="32" formatCode="_-* #,##0_-;\-* #,##0_-;_-* \-??_-;_-@_-">
                  <c:v>620</c:v>
                </c:pt>
                <c:pt idx="33" formatCode="_-* #,##0_-;\-* #,##0_-;_-* \-??_-;_-@_-">
                  <c:v>651</c:v>
                </c:pt>
                <c:pt idx="34" formatCode="_-* #,##0_-;\-* #,##0_-;_-* \-??_-;_-@_-">
                  <c:v>647</c:v>
                </c:pt>
                <c:pt idx="35" formatCode="_-* #,##0_-;\-* #,##0_-;_-* \-??_-;_-@_-">
                  <c:v>665</c:v>
                </c:pt>
                <c:pt idx="36" formatCode="_-* #,##0_-;\-* #,##0_-;_-* \-??_-;_-@_-">
                  <c:v>896</c:v>
                </c:pt>
                <c:pt idx="37" formatCode="_-* #,##0_-;\-* #,##0_-;_-* \-??_-;_-@_-">
                  <c:v>705</c:v>
                </c:pt>
                <c:pt idx="38" formatCode="_-* #,##0_-;\-* #,##0_-;_-* \-??_-;_-@_-">
                  <c:v>812</c:v>
                </c:pt>
                <c:pt idx="39" formatCode="_-* #,##0_-;\-* #,##0_-;_-* \-??_-;_-@_-">
                  <c:v>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CD-4444-996C-E7B5EF210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5074"/>
        <c:axId val="7359680"/>
      </c:lineChart>
      <c:dateAx>
        <c:axId val="1471954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4221325"/>
        <c:crosses val="autoZero"/>
        <c:auto val="1"/>
        <c:lblOffset val="100"/>
        <c:baseTimeUnit val="months"/>
      </c:dateAx>
      <c:valAx>
        <c:axId val="74221325"/>
        <c:scaling>
          <c:orientation val="minMax"/>
          <c:max val="2500"/>
          <c:min val="-1200"/>
        </c:scaling>
        <c:delete val="0"/>
        <c:axPos val="r"/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Predicted MoM Stock change (Kt)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_-;\-* #,##0_-;_-* \-??_-;_-@_-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4719543"/>
        <c:crosses val="max"/>
        <c:crossBetween val="between"/>
        <c:majorUnit val="500"/>
      </c:valAx>
      <c:dateAx>
        <c:axId val="895074"/>
        <c:scaling>
          <c:orientation val="minMax"/>
          <c:min val="44927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359680"/>
        <c:crosses val="autoZero"/>
        <c:auto val="1"/>
        <c:lblOffset val="100"/>
        <c:baseTimeUnit val="months"/>
      </c:dateAx>
      <c:valAx>
        <c:axId val="735968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Volume (kt)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95074"/>
        <c:crosses val="autoZero"/>
        <c:crossBetween val="between"/>
        <c:majorUnit val="5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GB" sz="1400" b="0" strike="noStrike" spc="-1">
                <a:solidFill>
                  <a:srgbClr val="595959"/>
                </a:solidFill>
                <a:latin typeface="Calibri"/>
              </a:rPr>
              <a:t>Singapore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Forecast'!$A$18</c:f>
              <c:strCache>
                <c:ptCount val="1"/>
                <c:pt idx="0">
                  <c:v>Predicted MoM Stock Change</c:v>
                </c:pt>
              </c:strCache>
            </c:strRef>
          </c:tx>
          <c:spPr>
            <a:solidFill>
              <a:srgbClr val="9983B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Forecast'!$AE$18:$BR$18</c:f>
              <c:numCache>
                <c:formatCode>_-* #,##0_-;\-* #,##0_-;_-* \-??_-;_-@_-</c:formatCode>
                <c:ptCount val="40"/>
                <c:pt idx="0">
                  <c:v>275.49273031531948</c:v>
                </c:pt>
                <c:pt idx="1">
                  <c:v>-262.88878038625899</c:v>
                </c:pt>
                <c:pt idx="2">
                  <c:v>133.71196834538659</c:v>
                </c:pt>
                <c:pt idx="3">
                  <c:v>-93.50891018547054</c:v>
                </c:pt>
                <c:pt idx="4">
                  <c:v>468.85355308928274</c:v>
                </c:pt>
                <c:pt idx="5">
                  <c:v>-195.10217349695267</c:v>
                </c:pt>
                <c:pt idx="6">
                  <c:v>51.0529401382787</c:v>
                </c:pt>
                <c:pt idx="7">
                  <c:v>215.30233638318668</c:v>
                </c:pt>
                <c:pt idx="8">
                  <c:v>48.042381846935768</c:v>
                </c:pt>
                <c:pt idx="9">
                  <c:v>-694.37891495397525</c:v>
                </c:pt>
                <c:pt idx="10">
                  <c:v>882.8597076449696</c:v>
                </c:pt>
                <c:pt idx="11">
                  <c:v>-1408.5822070299637</c:v>
                </c:pt>
                <c:pt idx="12">
                  <c:v>440.85819938865552</c:v>
                </c:pt>
                <c:pt idx="13">
                  <c:v>-61.203480713838417</c:v>
                </c:pt>
                <c:pt idx="14">
                  <c:v>454.70219106708782</c:v>
                </c:pt>
                <c:pt idx="15">
                  <c:v>-1067.0197335447792</c:v>
                </c:pt>
                <c:pt idx="16">
                  <c:v>1437.8202498034498</c:v>
                </c:pt>
                <c:pt idx="17">
                  <c:v>-374.82943467811629</c:v>
                </c:pt>
                <c:pt idx="18">
                  <c:v>333.6511656776679</c:v>
                </c:pt>
                <c:pt idx="19">
                  <c:v>-916.66121234644561</c:v>
                </c:pt>
                <c:pt idx="20">
                  <c:v>680.3903283937816</c:v>
                </c:pt>
                <c:pt idx="21">
                  <c:v>-865.73687596542959</c:v>
                </c:pt>
                <c:pt idx="22">
                  <c:v>475.551750964848</c:v>
                </c:pt>
                <c:pt idx="23">
                  <c:v>-20.227206668387225</c:v>
                </c:pt>
                <c:pt idx="24">
                  <c:v>474.14698261953572</c:v>
                </c:pt>
                <c:pt idx="25">
                  <c:v>-244.5867633188218</c:v>
                </c:pt>
                <c:pt idx="26">
                  <c:v>-665.41256216566671</c:v>
                </c:pt>
                <c:pt idx="27">
                  <c:v>99.295718071017291</c:v>
                </c:pt>
                <c:pt idx="28">
                  <c:v>82.818042526139379</c:v>
                </c:pt>
                <c:pt idx="29">
                  <c:v>714.75254625019261</c:v>
                </c:pt>
                <c:pt idx="30">
                  <c:v>-1160.4641674156946</c:v>
                </c:pt>
                <c:pt idx="31">
                  <c:v>972.06743412635979</c:v>
                </c:pt>
                <c:pt idx="32">
                  <c:v>-490.64053963980859</c:v>
                </c:pt>
                <c:pt idx="33">
                  <c:v>438.86124723478224</c:v>
                </c:pt>
                <c:pt idx="34">
                  <c:v>-341.12952755905553</c:v>
                </c:pt>
                <c:pt idx="35">
                  <c:v>-329.5007874015746</c:v>
                </c:pt>
                <c:pt idx="36">
                  <c:v>482.79448818897617</c:v>
                </c:pt>
                <c:pt idx="37">
                  <c:v>-305.44803149606287</c:v>
                </c:pt>
                <c:pt idx="38">
                  <c:v>-117.15157480314974</c:v>
                </c:pt>
                <c:pt idx="39">
                  <c:v>-255.62047244094447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1-4ADF-B3D1-0D5A436D8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586590"/>
        <c:axId val="80137902"/>
      </c:barChart>
      <c:lineChart>
        <c:grouping val="standard"/>
        <c:varyColors val="0"/>
        <c:ser>
          <c:idx val="1"/>
          <c:order val="1"/>
          <c:tx>
            <c:strRef>
              <c:f>'Balance Forecast'!$A$6</c:f>
              <c:strCache>
                <c:ptCount val="1"/>
                <c:pt idx="0">
                  <c:v>Total Stock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Forecast'!$AE$6:$BR$6</c:f>
              <c:numCache>
                <c:formatCode>_-* #,##0_-;\-* #,##0_-;_-* \-??_-;_-@_-</c:formatCode>
                <c:ptCount val="40"/>
                <c:pt idx="0">
                  <c:v>4018.7179057538933</c:v>
                </c:pt>
                <c:pt idx="1">
                  <c:v>3723.7759869092797</c:v>
                </c:pt>
                <c:pt idx="2">
                  <c:v>3569.1720693928091</c:v>
                </c:pt>
                <c:pt idx="3">
                  <c:v>4171.1803916904246</c:v>
                </c:pt>
                <c:pt idx="4">
                  <c:v>4335.5991335994731</c:v>
                </c:pt>
                <c:pt idx="5">
                  <c:v>4230.0492747877506</c:v>
                </c:pt>
                <c:pt idx="6">
                  <c:v>4146.318657339938</c:v>
                </c:pt>
                <c:pt idx="7">
                  <c:v>4268.4458449608737</c:v>
                </c:pt>
                <c:pt idx="8">
                  <c:v>4179.1028739958983</c:v>
                </c:pt>
                <c:pt idx="9">
                  <c:v>4354.4382489868676</c:v>
                </c:pt>
                <c:pt idx="10">
                  <c:v>3805.2664699699044</c:v>
                </c:pt>
                <c:pt idx="11">
                  <c:v>3566.9756847355607</c:v>
                </c:pt>
                <c:pt idx="12">
                  <c:v>3289.5393931137214</c:v>
                </c:pt>
                <c:pt idx="13">
                  <c:v>3519.7319470268094</c:v>
                </c:pt>
                <c:pt idx="14">
                  <c:v>3361.7180583380296</c:v>
                </c:pt>
                <c:pt idx="15">
                  <c:v>4478.5633774894804</c:v>
                </c:pt>
                <c:pt idx="16">
                  <c:v>3738.0896535723627</c:v>
                </c:pt>
                <c:pt idx="17">
                  <c:v>3384.6670819990313</c:v>
                </c:pt>
                <c:pt idx="18">
                  <c:v>3503.7561810305856</c:v>
                </c:pt>
                <c:pt idx="19">
                  <c:v>3701.4745947263673</c:v>
                </c:pt>
                <c:pt idx="20">
                  <c:v>3294.3969327019381</c:v>
                </c:pt>
                <c:pt idx="21">
                  <c:v>3520.4269946687855</c:v>
                </c:pt>
                <c:pt idx="22">
                  <c:v>3488.5426782473978</c:v>
                </c:pt>
                <c:pt idx="23">
                  <c:v>3829.8990968669341</c:v>
                </c:pt>
                <c:pt idx="24">
                  <c:v>3963.1399975481127</c:v>
                </c:pt>
                <c:pt idx="25">
                  <c:v>3776.0773307004456</c:v>
                </c:pt>
                <c:pt idx="26">
                  <c:v>3867.8938178784629</c:v>
                </c:pt>
                <c:pt idx="27">
                  <c:v>3964.3172340626024</c:v>
                </c:pt>
                <c:pt idx="28">
                  <c:v>3320.9197803127945</c:v>
                </c:pt>
                <c:pt idx="29">
                  <c:v>3539.6056128971004</c:v>
                </c:pt>
                <c:pt idx="30">
                  <c:v>3678.59700894046</c:v>
                </c:pt>
                <c:pt idx="31">
                  <c:v>3673.0564693006518</c:v>
                </c:pt>
                <c:pt idx="32">
                  <c:v>3553.0677165354336</c:v>
                </c:pt>
                <c:pt idx="33">
                  <c:v>3537.1881889763781</c:v>
                </c:pt>
                <c:pt idx="34">
                  <c:v>3483.3874015748033</c:v>
                </c:pt>
                <c:pt idx="35">
                  <c:v>3460.9818897637797</c:v>
                </c:pt>
                <c:pt idx="36">
                  <c:v>3441.1338582677172</c:v>
                </c:pt>
                <c:pt idx="37">
                  <c:v>3421.7322834645674</c:v>
                </c:pt>
                <c:pt idx="38">
                  <c:v>3404.7118110236224</c:v>
                </c:pt>
                <c:pt idx="39">
                  <c:v>3671.3952755905516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61-4ADF-B3D1-0D5A436D8CEC}"/>
            </c:ext>
          </c:extLst>
        </c:ser>
        <c:ser>
          <c:idx val="2"/>
          <c:order val="2"/>
          <c:tx>
            <c:strRef>
              <c:f>'Balance Forecast'!$A$8</c:f>
              <c:strCache>
                <c:ptCount val="1"/>
                <c:pt idx="0">
                  <c:v>Imports</c:v>
                </c:pt>
              </c:strCache>
            </c:strRef>
          </c:tx>
          <c:spPr>
            <a:ln w="28440" cap="rnd">
              <a:solidFill>
                <a:srgbClr val="F796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Forecast'!$AE$8:$BR$8</c:f>
              <c:numCache>
                <c:formatCode>_-* #,##0_-;\-* #,##0_-;_-* \-??_-;_-@_-</c:formatCode>
                <c:ptCount val="40"/>
                <c:pt idx="0">
                  <c:v>2049.5175955469999</c:v>
                </c:pt>
                <c:pt idx="1">
                  <c:v>1936.640175</c:v>
                </c:pt>
                <c:pt idx="2">
                  <c:v>2197.855149</c:v>
                </c:pt>
                <c:pt idx="3">
                  <c:v>1954.6796939999999</c:v>
                </c:pt>
                <c:pt idx="4">
                  <c:v>2485.3538610000001</c:v>
                </c:pt>
                <c:pt idx="5">
                  <c:v>1590.3912982500001</c:v>
                </c:pt>
                <c:pt idx="6">
                  <c:v>2089.3441469999998</c:v>
                </c:pt>
                <c:pt idx="7">
                  <c:v>1701.8330444999999</c:v>
                </c:pt>
                <c:pt idx="8">
                  <c:v>2017.4523509999999</c:v>
                </c:pt>
                <c:pt idx="9">
                  <c:v>1376.9372465399999</c:v>
                </c:pt>
                <c:pt idx="10">
                  <c:v>1565.761587</c:v>
                </c:pt>
                <c:pt idx="11">
                  <c:v>1341.0047196</c:v>
                </c:pt>
                <c:pt idx="12">
                  <c:v>1444.9437225300001</c:v>
                </c:pt>
                <c:pt idx="13">
                  <c:v>2099.5375356</c:v>
                </c:pt>
                <c:pt idx="14">
                  <c:v>2331.0103650000001</c:v>
                </c:pt>
                <c:pt idx="15">
                  <c:v>1864.314723</c:v>
                </c:pt>
                <c:pt idx="16">
                  <c:v>1392.101379</c:v>
                </c:pt>
                <c:pt idx="17">
                  <c:v>1268.5921559999999</c:v>
                </c:pt>
                <c:pt idx="18">
                  <c:v>1913.160936</c:v>
                </c:pt>
                <c:pt idx="19">
                  <c:v>1323.08826</c:v>
                </c:pt>
                <c:pt idx="20">
                  <c:v>1848.2865690000001</c:v>
                </c:pt>
                <c:pt idx="21">
                  <c:v>1471.854141</c:v>
                </c:pt>
                <c:pt idx="22">
                  <c:v>1922.6909069999999</c:v>
                </c:pt>
                <c:pt idx="23">
                  <c:v>1808.5480829999999</c:v>
                </c:pt>
                <c:pt idx="24">
                  <c:v>1623.227664</c:v>
                </c:pt>
                <c:pt idx="25">
                  <c:v>1556</c:v>
                </c:pt>
                <c:pt idx="26">
                  <c:v>1411</c:v>
                </c:pt>
                <c:pt idx="27">
                  <c:v>1628</c:v>
                </c:pt>
                <c:pt idx="28">
                  <c:v>1778</c:v>
                </c:pt>
                <c:pt idx="29">
                  <c:v>2361</c:v>
                </c:pt>
                <c:pt idx="30">
                  <c:v>831</c:v>
                </c:pt>
                <c:pt idx="31">
                  <c:v>1683</c:v>
                </c:pt>
                <c:pt idx="32">
                  <c:v>1719</c:v>
                </c:pt>
                <c:pt idx="33">
                  <c:v>1947</c:v>
                </c:pt>
                <c:pt idx="34">
                  <c:v>1634</c:v>
                </c:pt>
                <c:pt idx="35">
                  <c:v>1668</c:v>
                </c:pt>
                <c:pt idx="36">
                  <c:v>1731</c:v>
                </c:pt>
                <c:pt idx="37">
                  <c:v>1834</c:v>
                </c:pt>
                <c:pt idx="38">
                  <c:v>1664</c:v>
                </c:pt>
                <c:pt idx="39">
                  <c:v>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61-4ADF-B3D1-0D5A436D8CEC}"/>
            </c:ext>
          </c:extLst>
        </c:ser>
        <c:ser>
          <c:idx val="3"/>
          <c:order val="3"/>
          <c:tx>
            <c:strRef>
              <c:f>'Balance Forecast'!$A$9</c:f>
              <c:strCache>
                <c:ptCount val="1"/>
                <c:pt idx="0">
                  <c:v>Exports</c:v>
                </c:pt>
              </c:strCache>
            </c:strRef>
          </c:tx>
          <c:spPr>
            <a:ln w="28440" cap="rnd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Forecast'!$AE$9:$BR$9</c:f>
              <c:numCache>
                <c:formatCode>_-* #,##0_-;\-* #,##0_-;_-* \-??_-;_-@_-</c:formatCode>
                <c:ptCount val="40"/>
                <c:pt idx="0">
                  <c:v>776.65412100000003</c:v>
                </c:pt>
                <c:pt idx="1">
                  <c:v>826.11468000000002</c:v>
                </c:pt>
                <c:pt idx="2">
                  <c:v>504.09086400000001</c:v>
                </c:pt>
                <c:pt idx="3">
                  <c:v>675.70166700000004</c:v>
                </c:pt>
                <c:pt idx="4">
                  <c:v>850.46598600000004</c:v>
                </c:pt>
                <c:pt idx="5">
                  <c:v>461.25926000999999</c:v>
                </c:pt>
                <c:pt idx="6">
                  <c:v>761.04440699999998</c:v>
                </c:pt>
                <c:pt idx="7">
                  <c:v>728.86161600000003</c:v>
                </c:pt>
                <c:pt idx="8">
                  <c:v>788.87542199999996</c:v>
                </c:pt>
                <c:pt idx="9">
                  <c:v>665.88637698000002</c:v>
                </c:pt>
                <c:pt idx="10">
                  <c:v>367.25147399999997</c:v>
                </c:pt>
                <c:pt idx="11">
                  <c:v>721.07197499999995</c:v>
                </c:pt>
                <c:pt idx="12">
                  <c:v>734.92994699999997</c:v>
                </c:pt>
                <c:pt idx="13">
                  <c:v>730.83272517</c:v>
                </c:pt>
                <c:pt idx="14">
                  <c:v>806.11800300000004</c:v>
                </c:pt>
                <c:pt idx="15">
                  <c:v>1070.874501</c:v>
                </c:pt>
                <c:pt idx="16">
                  <c:v>682.81609800000001</c:v>
                </c:pt>
                <c:pt idx="17">
                  <c:v>327.930477</c:v>
                </c:pt>
                <c:pt idx="18">
                  <c:v>497</c:v>
                </c:pt>
                <c:pt idx="19">
                  <c:v>582</c:v>
                </c:pt>
                <c:pt idx="20">
                  <c:v>314</c:v>
                </c:pt>
                <c:pt idx="21">
                  <c:v>442.25113800000003</c:v>
                </c:pt>
                <c:pt idx="22">
                  <c:v>731</c:v>
                </c:pt>
                <c:pt idx="23">
                  <c:v>750.94098299999996</c:v>
                </c:pt>
                <c:pt idx="24">
                  <c:v>702</c:v>
                </c:pt>
                <c:pt idx="25">
                  <c:v>845</c:v>
                </c:pt>
                <c:pt idx="26">
                  <c:v>687</c:v>
                </c:pt>
                <c:pt idx="27">
                  <c:v>492</c:v>
                </c:pt>
                <c:pt idx="28">
                  <c:v>944</c:v>
                </c:pt>
                <c:pt idx="29">
                  <c:v>583</c:v>
                </c:pt>
                <c:pt idx="30">
                  <c:v>516</c:v>
                </c:pt>
                <c:pt idx="31">
                  <c:v>523</c:v>
                </c:pt>
                <c:pt idx="32">
                  <c:v>558</c:v>
                </c:pt>
                <c:pt idx="33">
                  <c:v>519</c:v>
                </c:pt>
                <c:pt idx="34">
                  <c:v>510</c:v>
                </c:pt>
                <c:pt idx="35">
                  <c:v>683</c:v>
                </c:pt>
                <c:pt idx="36">
                  <c:v>626</c:v>
                </c:pt>
                <c:pt idx="37">
                  <c:v>720</c:v>
                </c:pt>
                <c:pt idx="38">
                  <c:v>670</c:v>
                </c:pt>
                <c:pt idx="39">
                  <c:v>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61-4ADF-B3D1-0D5A436D8CEC}"/>
            </c:ext>
          </c:extLst>
        </c:ser>
        <c:ser>
          <c:idx val="4"/>
          <c:order val="4"/>
          <c:tx>
            <c:strRef>
              <c:f>'Balance Forecast'!$A$12</c:f>
              <c:strCache>
                <c:ptCount val="1"/>
                <c:pt idx="0">
                  <c:v>Crude Imports</c:v>
                </c:pt>
              </c:strCache>
            </c:strRef>
          </c:tx>
          <c:spPr>
            <a:ln w="28440" cap="rnd">
              <a:solidFill>
                <a:srgbClr val="C3D69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Forecast'!$AE$12:$BR$12</c:f>
              <c:numCache>
                <c:formatCode>_-* #,##0_-;\-* #,##0_-;_-* "-"??_-;_-@_-</c:formatCode>
                <c:ptCount val="40"/>
                <c:pt idx="0">
                  <c:v>566.50149964600007</c:v>
                </c:pt>
                <c:pt idx="1">
                  <c:v>521.936421</c:v>
                </c:pt>
                <c:pt idx="2">
                  <c:v>232.15151818999999</c:v>
                </c:pt>
                <c:pt idx="3">
                  <c:v>742.48278352099999</c:v>
                </c:pt>
                <c:pt idx="4" formatCode="_-* #,##0_-;\-* #,##0_-;_-* \-??_-;_-@_-">
                  <c:v>566.50149964599996</c:v>
                </c:pt>
                <c:pt idx="5" formatCode="_-* #,##0_-;\-* #,##0_-;_-* \-??_-;_-@_-">
                  <c:v>521.936421</c:v>
                </c:pt>
                <c:pt idx="6" formatCode="_-* #,##0_-;\-* #,##0_-;_-* \-??_-;_-@_-">
                  <c:v>232.15151818999999</c:v>
                </c:pt>
                <c:pt idx="7" formatCode="_-* #,##0_-;\-* #,##0_-;_-* \-??_-;_-@_-">
                  <c:v>742.48278352099999</c:v>
                </c:pt>
                <c:pt idx="8" formatCode="_-* #,##0_-;\-* #,##0_-;_-* \-??_-;_-@_-">
                  <c:v>862.22247724700003</c:v>
                </c:pt>
                <c:pt idx="9" formatCode="_-* #,##0_-;\-* #,##0_-;_-* \-??_-;_-@_-">
                  <c:v>454.61259269800001</c:v>
                </c:pt>
                <c:pt idx="10" formatCode="_-* #,##0_-;\-* #,##0_-;_-* \-??_-;_-@_-">
                  <c:v>850.74768191199996</c:v>
                </c:pt>
                <c:pt idx="11" formatCode="_-* #,##0_-;\-* #,##0_-;_-* \-??_-;_-@_-">
                  <c:v>507.17462229900002</c:v>
                </c:pt>
                <c:pt idx="12" formatCode="_-* #,##0_-;\-* #,##0_-;_-* \-??_-;_-@_-">
                  <c:v>853.73257599199997</c:v>
                </c:pt>
                <c:pt idx="13" formatCode="_-* #,##0_-;\-* #,##0_-;_-* \-??_-;_-@_-">
                  <c:v>679.40435200000002</c:v>
                </c:pt>
                <c:pt idx="14" formatCode="_-* #,##0_-;\-* #,##0_-;_-* \-??_-;_-@_-">
                  <c:v>681.26643758399996</c:v>
                </c:pt>
                <c:pt idx="15" formatCode="_-* #,##0_-;\-* #,##0_-;_-* \-??_-;_-@_-">
                  <c:v>541.48273272799997</c:v>
                </c:pt>
                <c:pt idx="16" formatCode="_-* #,##0_-;\-* #,##0_-;_-* \-??_-;_-@_-">
                  <c:v>937.90260437999996</c:v>
                </c:pt>
                <c:pt idx="17" formatCode="_-* #,##0_-;\-* #,##0_-;_-* \-??_-;_-@_-">
                  <c:v>702.06049561899999</c:v>
                </c:pt>
                <c:pt idx="18" formatCode="_-* #,##0_-;\-* #,##0_-;_-* \-??_-;_-@_-">
                  <c:v>1096.5649758699999</c:v>
                </c:pt>
                <c:pt idx="19" formatCode="_-* #,##0_-;\-* #,##0_-;_-* \-??_-;_-@_-">
                  <c:v>699.64734049200001</c:v>
                </c:pt>
                <c:pt idx="20" formatCode="_-* #,##0_-;\-* #,##0_-;_-* \-??_-;_-@_-">
                  <c:v>732.70094618999997</c:v>
                </c:pt>
                <c:pt idx="21" formatCode="_-* #,##0_-;\-* #,##0_-;_-* \-??_-;_-@_-">
                  <c:v>499.91529824899999</c:v>
                </c:pt>
                <c:pt idx="22" formatCode="_-* #,##0_-;\-* #,##0_-;_-* \-??_-;_-@_-">
                  <c:v>638.70908324699997</c:v>
                </c:pt>
                <c:pt idx="23" formatCode="_-* #,##0_-;\-* #,##0_-;_-* \-??_-;_-@_-">
                  <c:v>925</c:v>
                </c:pt>
                <c:pt idx="24" formatCode="_-* #,##0_-;\-* #,##0_-;_-* \-??_-;_-@_-">
                  <c:v>1064</c:v>
                </c:pt>
                <c:pt idx="25" formatCode="_-* #,##0_-;\-* #,##0_-;_-* \-??_-;_-@_-">
                  <c:v>1021</c:v>
                </c:pt>
                <c:pt idx="26" formatCode="_-* #,##0_-;\-* #,##0_-;_-* \-??_-;_-@_-">
                  <c:v>618.40010468200012</c:v>
                </c:pt>
                <c:pt idx="27" formatCode="_-* #,##0_-;\-* #,##0_-;_-* \-??_-;_-@_-">
                  <c:v>534.47933557500005</c:v>
                </c:pt>
                <c:pt idx="28" formatCode="_-* #,##0_-;\-* #,##0_-;_-* \-??_-;_-@_-">
                  <c:v>674.77396191700007</c:v>
                </c:pt>
                <c:pt idx="29" formatCode="_-* #,##0_-;\-* #,##0_-;_-* \-??_-;_-@_-">
                  <c:v>674.77396191700007</c:v>
                </c:pt>
                <c:pt idx="30" formatCode="_-* #,##0_-;\-* #,##0_-;_-* \-??_-;_-@_-">
                  <c:v>674.77396191700007</c:v>
                </c:pt>
                <c:pt idx="31" formatCode="_-* #,##0_-;\-* #,##0_-;_-* \-??_-;_-@_-">
                  <c:v>740</c:v>
                </c:pt>
                <c:pt idx="32" formatCode="_-* #,##0_-;\-* #,##0_-;_-* \-??_-;_-@_-">
                  <c:v>620</c:v>
                </c:pt>
                <c:pt idx="33" formatCode="_-* #,##0_-;\-* #,##0_-;_-* \-??_-;_-@_-">
                  <c:v>651</c:v>
                </c:pt>
                <c:pt idx="34" formatCode="_-* #,##0_-;\-* #,##0_-;_-* \-??_-;_-@_-">
                  <c:v>647</c:v>
                </c:pt>
                <c:pt idx="35" formatCode="_-* #,##0_-;\-* #,##0_-;_-* \-??_-;_-@_-">
                  <c:v>665</c:v>
                </c:pt>
                <c:pt idx="36" formatCode="_-* #,##0_-;\-* #,##0_-;_-* \-??_-;_-@_-">
                  <c:v>896</c:v>
                </c:pt>
                <c:pt idx="37" formatCode="_-* #,##0_-;\-* #,##0_-;_-* \-??_-;_-@_-">
                  <c:v>705</c:v>
                </c:pt>
                <c:pt idx="38" formatCode="_-* #,##0_-;\-* #,##0_-;_-* \-??_-;_-@_-">
                  <c:v>812</c:v>
                </c:pt>
                <c:pt idx="39" formatCode="_-* #,##0_-;\-* #,##0_-;_-* \-??_-;_-@_-">
                  <c:v>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61-4ADF-B3D1-0D5A436D8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9755295"/>
        <c:axId val="5580447"/>
      </c:lineChart>
      <c:dateAx>
        <c:axId val="9658659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0137902"/>
        <c:crosses val="autoZero"/>
        <c:auto val="1"/>
        <c:lblOffset val="100"/>
        <c:baseTimeUnit val="months"/>
      </c:dateAx>
      <c:valAx>
        <c:axId val="80137902"/>
        <c:scaling>
          <c:orientation val="minMax"/>
          <c:max val="1200"/>
        </c:scaling>
        <c:delete val="0"/>
        <c:axPos val="r"/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Predicted MoM Stock change (Kt)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_-;\-* #,##0_-;_-* \-??_-;_-@_-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6586590"/>
        <c:crosses val="max"/>
        <c:crossBetween val="between"/>
        <c:majorUnit val="500"/>
      </c:valAx>
      <c:dateAx>
        <c:axId val="59755295"/>
        <c:scaling>
          <c:orientation val="minMax"/>
          <c:min val="45658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580447"/>
        <c:crosses val="autoZero"/>
        <c:auto val="1"/>
        <c:lblOffset val="100"/>
        <c:baseTimeUnit val="months"/>
      </c:dateAx>
      <c:valAx>
        <c:axId val="558044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Volume (kt)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97552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GB" sz="1400" b="0" strike="noStrike" spc="-1">
                <a:solidFill>
                  <a:srgbClr val="595959"/>
                </a:solidFill>
                <a:latin typeface="Calibri"/>
              </a:rPr>
              <a:t>Singapore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Forecast'!$A$18</c:f>
              <c:strCache>
                <c:ptCount val="1"/>
                <c:pt idx="0">
                  <c:v>Predicted MoM Stock Change</c:v>
                </c:pt>
              </c:strCache>
            </c:strRef>
          </c:tx>
          <c:spPr>
            <a:solidFill>
              <a:srgbClr val="9983B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Forecast'!$AE$18:$BR$18</c:f>
              <c:numCache>
                <c:formatCode>_-* #,##0_-;\-* #,##0_-;_-* \-??_-;_-@_-</c:formatCode>
                <c:ptCount val="40"/>
                <c:pt idx="0">
                  <c:v>275.49273031531948</c:v>
                </c:pt>
                <c:pt idx="1">
                  <c:v>-262.88878038625899</c:v>
                </c:pt>
                <c:pt idx="2">
                  <c:v>133.71196834538659</c:v>
                </c:pt>
                <c:pt idx="3">
                  <c:v>-93.50891018547054</c:v>
                </c:pt>
                <c:pt idx="4">
                  <c:v>468.85355308928274</c:v>
                </c:pt>
                <c:pt idx="5">
                  <c:v>-195.10217349695267</c:v>
                </c:pt>
                <c:pt idx="6">
                  <c:v>51.0529401382787</c:v>
                </c:pt>
                <c:pt idx="7">
                  <c:v>215.30233638318668</c:v>
                </c:pt>
                <c:pt idx="8">
                  <c:v>48.042381846935768</c:v>
                </c:pt>
                <c:pt idx="9">
                  <c:v>-694.37891495397525</c:v>
                </c:pt>
                <c:pt idx="10">
                  <c:v>882.8597076449696</c:v>
                </c:pt>
                <c:pt idx="11">
                  <c:v>-1408.5822070299637</c:v>
                </c:pt>
                <c:pt idx="12">
                  <c:v>440.85819938865552</c:v>
                </c:pt>
                <c:pt idx="13">
                  <c:v>-61.203480713838417</c:v>
                </c:pt>
                <c:pt idx="14">
                  <c:v>454.70219106708782</c:v>
                </c:pt>
                <c:pt idx="15">
                  <c:v>-1067.0197335447792</c:v>
                </c:pt>
                <c:pt idx="16">
                  <c:v>1437.8202498034498</c:v>
                </c:pt>
                <c:pt idx="17">
                  <c:v>-374.82943467811629</c:v>
                </c:pt>
                <c:pt idx="18">
                  <c:v>333.6511656776679</c:v>
                </c:pt>
                <c:pt idx="19">
                  <c:v>-916.66121234644561</c:v>
                </c:pt>
                <c:pt idx="20">
                  <c:v>680.3903283937816</c:v>
                </c:pt>
                <c:pt idx="21">
                  <c:v>-865.73687596542959</c:v>
                </c:pt>
                <c:pt idx="22">
                  <c:v>475.551750964848</c:v>
                </c:pt>
                <c:pt idx="23">
                  <c:v>-20.227206668387225</c:v>
                </c:pt>
                <c:pt idx="24">
                  <c:v>474.14698261953572</c:v>
                </c:pt>
                <c:pt idx="25">
                  <c:v>-244.5867633188218</c:v>
                </c:pt>
                <c:pt idx="26">
                  <c:v>-665.41256216566671</c:v>
                </c:pt>
                <c:pt idx="27">
                  <c:v>99.295718071017291</c:v>
                </c:pt>
                <c:pt idx="28">
                  <c:v>82.818042526139379</c:v>
                </c:pt>
                <c:pt idx="29">
                  <c:v>714.75254625019261</c:v>
                </c:pt>
                <c:pt idx="30">
                  <c:v>-1160.4641674156946</c:v>
                </c:pt>
                <c:pt idx="31">
                  <c:v>972.06743412635979</c:v>
                </c:pt>
                <c:pt idx="32">
                  <c:v>-490.64053963980859</c:v>
                </c:pt>
                <c:pt idx="33">
                  <c:v>438.86124723478224</c:v>
                </c:pt>
                <c:pt idx="34">
                  <c:v>-341.12952755905553</c:v>
                </c:pt>
                <c:pt idx="35">
                  <c:v>-329.5007874015746</c:v>
                </c:pt>
                <c:pt idx="36">
                  <c:v>482.79448818897617</c:v>
                </c:pt>
                <c:pt idx="37">
                  <c:v>-305.44803149606287</c:v>
                </c:pt>
                <c:pt idx="38">
                  <c:v>-117.15157480314974</c:v>
                </c:pt>
                <c:pt idx="39">
                  <c:v>-255.62047244094447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D-4526-B86E-D9F594163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15824"/>
        <c:axId val="12013722"/>
      </c:barChart>
      <c:lineChart>
        <c:grouping val="standard"/>
        <c:varyColors val="0"/>
        <c:ser>
          <c:idx val="1"/>
          <c:order val="1"/>
          <c:tx>
            <c:strRef>
              <c:f>'Balance Forecast'!$A$6</c:f>
              <c:strCache>
                <c:ptCount val="1"/>
                <c:pt idx="0">
                  <c:v>Total Stock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Forecast'!$AE$6:$BR$6</c:f>
              <c:numCache>
                <c:formatCode>_-* #,##0_-;\-* #,##0_-;_-* \-??_-;_-@_-</c:formatCode>
                <c:ptCount val="40"/>
                <c:pt idx="0">
                  <c:v>4018.7179057538933</c:v>
                </c:pt>
                <c:pt idx="1">
                  <c:v>3723.7759869092797</c:v>
                </c:pt>
                <c:pt idx="2">
                  <c:v>3569.1720693928091</c:v>
                </c:pt>
                <c:pt idx="3">
                  <c:v>4171.1803916904246</c:v>
                </c:pt>
                <c:pt idx="4">
                  <c:v>4335.5991335994731</c:v>
                </c:pt>
                <c:pt idx="5">
                  <c:v>4230.0492747877506</c:v>
                </c:pt>
                <c:pt idx="6">
                  <c:v>4146.318657339938</c:v>
                </c:pt>
                <c:pt idx="7">
                  <c:v>4268.4458449608737</c:v>
                </c:pt>
                <c:pt idx="8">
                  <c:v>4179.1028739958983</c:v>
                </c:pt>
                <c:pt idx="9">
                  <c:v>4354.4382489868676</c:v>
                </c:pt>
                <c:pt idx="10">
                  <c:v>3805.2664699699044</c:v>
                </c:pt>
                <c:pt idx="11">
                  <c:v>3566.9756847355607</c:v>
                </c:pt>
                <c:pt idx="12">
                  <c:v>3289.5393931137214</c:v>
                </c:pt>
                <c:pt idx="13">
                  <c:v>3519.7319470268094</c:v>
                </c:pt>
                <c:pt idx="14">
                  <c:v>3361.7180583380296</c:v>
                </c:pt>
                <c:pt idx="15">
                  <c:v>4478.5633774894804</c:v>
                </c:pt>
                <c:pt idx="16">
                  <c:v>3738.0896535723627</c:v>
                </c:pt>
                <c:pt idx="17">
                  <c:v>3384.6670819990313</c:v>
                </c:pt>
                <c:pt idx="18">
                  <c:v>3503.7561810305856</c:v>
                </c:pt>
                <c:pt idx="19">
                  <c:v>3701.4745947263673</c:v>
                </c:pt>
                <c:pt idx="20">
                  <c:v>3294.3969327019381</c:v>
                </c:pt>
                <c:pt idx="21">
                  <c:v>3520.4269946687855</c:v>
                </c:pt>
                <c:pt idx="22">
                  <c:v>3488.5426782473978</c:v>
                </c:pt>
                <c:pt idx="23">
                  <c:v>3829.8990968669341</c:v>
                </c:pt>
                <c:pt idx="24">
                  <c:v>3963.1399975481127</c:v>
                </c:pt>
                <c:pt idx="25">
                  <c:v>3776.0773307004456</c:v>
                </c:pt>
                <c:pt idx="26">
                  <c:v>3867.8938178784629</c:v>
                </c:pt>
                <c:pt idx="27">
                  <c:v>3964.3172340626024</c:v>
                </c:pt>
                <c:pt idx="28">
                  <c:v>3320.9197803127945</c:v>
                </c:pt>
                <c:pt idx="29">
                  <c:v>3539.6056128971004</c:v>
                </c:pt>
                <c:pt idx="30">
                  <c:v>3678.59700894046</c:v>
                </c:pt>
                <c:pt idx="31">
                  <c:v>3673.0564693006518</c:v>
                </c:pt>
                <c:pt idx="32">
                  <c:v>3553.0677165354336</c:v>
                </c:pt>
                <c:pt idx="33">
                  <c:v>3537.1881889763781</c:v>
                </c:pt>
                <c:pt idx="34">
                  <c:v>3483.3874015748033</c:v>
                </c:pt>
                <c:pt idx="35">
                  <c:v>3460.9818897637797</c:v>
                </c:pt>
                <c:pt idx="36">
                  <c:v>3441.1338582677172</c:v>
                </c:pt>
                <c:pt idx="37">
                  <c:v>3421.7322834645674</c:v>
                </c:pt>
                <c:pt idx="38">
                  <c:v>3404.7118110236224</c:v>
                </c:pt>
                <c:pt idx="39">
                  <c:v>3671.3952755905516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ED-4526-B86E-D9F594163F35}"/>
            </c:ext>
          </c:extLst>
        </c:ser>
        <c:ser>
          <c:idx val="2"/>
          <c:order val="2"/>
          <c:tx>
            <c:strRef>
              <c:f>'Balance Forecast'!$A$8</c:f>
              <c:strCache>
                <c:ptCount val="1"/>
                <c:pt idx="0">
                  <c:v>Imports</c:v>
                </c:pt>
              </c:strCache>
            </c:strRef>
          </c:tx>
          <c:spPr>
            <a:ln w="28440" cap="rnd">
              <a:solidFill>
                <a:srgbClr val="F796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Forecast'!$AE$8:$BR$8</c:f>
              <c:numCache>
                <c:formatCode>_-* #,##0_-;\-* #,##0_-;_-* \-??_-;_-@_-</c:formatCode>
                <c:ptCount val="40"/>
                <c:pt idx="0">
                  <c:v>2049.5175955469999</c:v>
                </c:pt>
                <c:pt idx="1">
                  <c:v>1936.640175</c:v>
                </c:pt>
                <c:pt idx="2">
                  <c:v>2197.855149</c:v>
                </c:pt>
                <c:pt idx="3">
                  <c:v>1954.6796939999999</c:v>
                </c:pt>
                <c:pt idx="4">
                  <c:v>2485.3538610000001</c:v>
                </c:pt>
                <c:pt idx="5">
                  <c:v>1590.3912982500001</c:v>
                </c:pt>
                <c:pt idx="6">
                  <c:v>2089.3441469999998</c:v>
                </c:pt>
                <c:pt idx="7">
                  <c:v>1701.8330444999999</c:v>
                </c:pt>
                <c:pt idx="8">
                  <c:v>2017.4523509999999</c:v>
                </c:pt>
                <c:pt idx="9">
                  <c:v>1376.9372465399999</c:v>
                </c:pt>
                <c:pt idx="10">
                  <c:v>1565.761587</c:v>
                </c:pt>
                <c:pt idx="11">
                  <c:v>1341.0047196</c:v>
                </c:pt>
                <c:pt idx="12">
                  <c:v>1444.9437225300001</c:v>
                </c:pt>
                <c:pt idx="13">
                  <c:v>2099.5375356</c:v>
                </c:pt>
                <c:pt idx="14">
                  <c:v>2331.0103650000001</c:v>
                </c:pt>
                <c:pt idx="15">
                  <c:v>1864.314723</c:v>
                </c:pt>
                <c:pt idx="16">
                  <c:v>1392.101379</c:v>
                </c:pt>
                <c:pt idx="17">
                  <c:v>1268.5921559999999</c:v>
                </c:pt>
                <c:pt idx="18">
                  <c:v>1913.160936</c:v>
                </c:pt>
                <c:pt idx="19">
                  <c:v>1323.08826</c:v>
                </c:pt>
                <c:pt idx="20">
                  <c:v>1848.2865690000001</c:v>
                </c:pt>
                <c:pt idx="21">
                  <c:v>1471.854141</c:v>
                </c:pt>
                <c:pt idx="22">
                  <c:v>1922.6909069999999</c:v>
                </c:pt>
                <c:pt idx="23">
                  <c:v>1808.5480829999999</c:v>
                </c:pt>
                <c:pt idx="24">
                  <c:v>1623.227664</c:v>
                </c:pt>
                <c:pt idx="25">
                  <c:v>1556</c:v>
                </c:pt>
                <c:pt idx="26">
                  <c:v>1411</c:v>
                </c:pt>
                <c:pt idx="27">
                  <c:v>1628</c:v>
                </c:pt>
                <c:pt idx="28">
                  <c:v>1778</c:v>
                </c:pt>
                <c:pt idx="29">
                  <c:v>2361</c:v>
                </c:pt>
                <c:pt idx="30">
                  <c:v>831</c:v>
                </c:pt>
                <c:pt idx="31">
                  <c:v>1683</c:v>
                </c:pt>
                <c:pt idx="32">
                  <c:v>1719</c:v>
                </c:pt>
                <c:pt idx="33">
                  <c:v>1947</c:v>
                </c:pt>
                <c:pt idx="34">
                  <c:v>1634</c:v>
                </c:pt>
                <c:pt idx="35">
                  <c:v>1668</c:v>
                </c:pt>
                <c:pt idx="36">
                  <c:v>1731</c:v>
                </c:pt>
                <c:pt idx="37">
                  <c:v>1834</c:v>
                </c:pt>
                <c:pt idx="38">
                  <c:v>1664</c:v>
                </c:pt>
                <c:pt idx="39">
                  <c:v>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ED-4526-B86E-D9F594163F35}"/>
            </c:ext>
          </c:extLst>
        </c:ser>
        <c:ser>
          <c:idx val="3"/>
          <c:order val="3"/>
          <c:tx>
            <c:strRef>
              <c:f>'Balance Forecast'!$A$9</c:f>
              <c:strCache>
                <c:ptCount val="1"/>
                <c:pt idx="0">
                  <c:v>Exports</c:v>
                </c:pt>
              </c:strCache>
            </c:strRef>
          </c:tx>
          <c:spPr>
            <a:ln w="28440" cap="rnd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Forecast'!$AE$9:$BR$9</c:f>
              <c:numCache>
                <c:formatCode>_-* #,##0_-;\-* #,##0_-;_-* \-??_-;_-@_-</c:formatCode>
                <c:ptCount val="40"/>
                <c:pt idx="0">
                  <c:v>776.65412100000003</c:v>
                </c:pt>
                <c:pt idx="1">
                  <c:v>826.11468000000002</c:v>
                </c:pt>
                <c:pt idx="2">
                  <c:v>504.09086400000001</c:v>
                </c:pt>
                <c:pt idx="3">
                  <c:v>675.70166700000004</c:v>
                </c:pt>
                <c:pt idx="4">
                  <c:v>850.46598600000004</c:v>
                </c:pt>
                <c:pt idx="5">
                  <c:v>461.25926000999999</c:v>
                </c:pt>
                <c:pt idx="6">
                  <c:v>761.04440699999998</c:v>
                </c:pt>
                <c:pt idx="7">
                  <c:v>728.86161600000003</c:v>
                </c:pt>
                <c:pt idx="8">
                  <c:v>788.87542199999996</c:v>
                </c:pt>
                <c:pt idx="9">
                  <c:v>665.88637698000002</c:v>
                </c:pt>
                <c:pt idx="10">
                  <c:v>367.25147399999997</c:v>
                </c:pt>
                <c:pt idx="11">
                  <c:v>721.07197499999995</c:v>
                </c:pt>
                <c:pt idx="12">
                  <c:v>734.92994699999997</c:v>
                </c:pt>
                <c:pt idx="13">
                  <c:v>730.83272517</c:v>
                </c:pt>
                <c:pt idx="14">
                  <c:v>806.11800300000004</c:v>
                </c:pt>
                <c:pt idx="15">
                  <c:v>1070.874501</c:v>
                </c:pt>
                <c:pt idx="16">
                  <c:v>682.81609800000001</c:v>
                </c:pt>
                <c:pt idx="17">
                  <c:v>327.930477</c:v>
                </c:pt>
                <c:pt idx="18">
                  <c:v>497</c:v>
                </c:pt>
                <c:pt idx="19">
                  <c:v>582</c:v>
                </c:pt>
                <c:pt idx="20">
                  <c:v>314</c:v>
                </c:pt>
                <c:pt idx="21">
                  <c:v>442.25113800000003</c:v>
                </c:pt>
                <c:pt idx="22">
                  <c:v>731</c:v>
                </c:pt>
                <c:pt idx="23">
                  <c:v>750.94098299999996</c:v>
                </c:pt>
                <c:pt idx="24">
                  <c:v>702</c:v>
                </c:pt>
                <c:pt idx="25">
                  <c:v>845</c:v>
                </c:pt>
                <c:pt idx="26">
                  <c:v>687</c:v>
                </c:pt>
                <c:pt idx="27">
                  <c:v>492</c:v>
                </c:pt>
                <c:pt idx="28">
                  <c:v>944</c:v>
                </c:pt>
                <c:pt idx="29">
                  <c:v>583</c:v>
                </c:pt>
                <c:pt idx="30">
                  <c:v>516</c:v>
                </c:pt>
                <c:pt idx="31">
                  <c:v>523</c:v>
                </c:pt>
                <c:pt idx="32">
                  <c:v>558</c:v>
                </c:pt>
                <c:pt idx="33">
                  <c:v>519</c:v>
                </c:pt>
                <c:pt idx="34">
                  <c:v>510</c:v>
                </c:pt>
                <c:pt idx="35">
                  <c:v>683</c:v>
                </c:pt>
                <c:pt idx="36">
                  <c:v>626</c:v>
                </c:pt>
                <c:pt idx="37">
                  <c:v>720</c:v>
                </c:pt>
                <c:pt idx="38">
                  <c:v>670</c:v>
                </c:pt>
                <c:pt idx="39">
                  <c:v>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ED-4526-B86E-D9F594163F35}"/>
            </c:ext>
          </c:extLst>
        </c:ser>
        <c:ser>
          <c:idx val="4"/>
          <c:order val="4"/>
          <c:tx>
            <c:strRef>
              <c:f>'Balance Forecast'!$A$12</c:f>
              <c:strCache>
                <c:ptCount val="1"/>
                <c:pt idx="0">
                  <c:v>Crude Imports</c:v>
                </c:pt>
              </c:strCache>
            </c:strRef>
          </c:tx>
          <c:spPr>
            <a:ln w="28440" cap="rnd">
              <a:solidFill>
                <a:srgbClr val="C3D69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Forecast'!$AE$2:$BR$2</c:f>
              <c:numCache>
                <c:formatCode>mmm\-yy</c:formatCode>
                <c:ptCount val="40"/>
                <c:pt idx="0">
                  <c:v>45170</c:v>
                </c:pt>
                <c:pt idx="1">
                  <c:v>45200</c:v>
                </c:pt>
                <c:pt idx="2">
                  <c:v>45231</c:v>
                </c:pt>
                <c:pt idx="3">
                  <c:v>45261</c:v>
                </c:pt>
                <c:pt idx="4">
                  <c:v>45292</c:v>
                </c:pt>
                <c:pt idx="5">
                  <c:v>45323</c:v>
                </c:pt>
                <c:pt idx="6">
                  <c:v>45352</c:v>
                </c:pt>
                <c:pt idx="7">
                  <c:v>45383</c:v>
                </c:pt>
                <c:pt idx="8">
                  <c:v>45413</c:v>
                </c:pt>
                <c:pt idx="9">
                  <c:v>45444</c:v>
                </c:pt>
                <c:pt idx="10">
                  <c:v>45474</c:v>
                </c:pt>
                <c:pt idx="11">
                  <c:v>45505</c:v>
                </c:pt>
                <c:pt idx="12">
                  <c:v>45536</c:v>
                </c:pt>
                <c:pt idx="13">
                  <c:v>45566</c:v>
                </c:pt>
                <c:pt idx="14">
                  <c:v>45597</c:v>
                </c:pt>
                <c:pt idx="15">
                  <c:v>45627</c:v>
                </c:pt>
                <c:pt idx="16">
                  <c:v>45658</c:v>
                </c:pt>
                <c:pt idx="17">
                  <c:v>45689</c:v>
                </c:pt>
                <c:pt idx="18">
                  <c:v>45717</c:v>
                </c:pt>
                <c:pt idx="19">
                  <c:v>45748</c:v>
                </c:pt>
                <c:pt idx="20">
                  <c:v>45778</c:v>
                </c:pt>
                <c:pt idx="21">
                  <c:v>45809</c:v>
                </c:pt>
                <c:pt idx="22">
                  <c:v>45839</c:v>
                </c:pt>
                <c:pt idx="23">
                  <c:v>45870</c:v>
                </c:pt>
                <c:pt idx="24">
                  <c:v>45901</c:v>
                </c:pt>
                <c:pt idx="25">
                  <c:v>45931</c:v>
                </c:pt>
                <c:pt idx="26">
                  <c:v>45962</c:v>
                </c:pt>
                <c:pt idx="27">
                  <c:v>45992</c:v>
                </c:pt>
                <c:pt idx="28">
                  <c:v>46023</c:v>
                </c:pt>
                <c:pt idx="29">
                  <c:v>46054</c:v>
                </c:pt>
                <c:pt idx="30">
                  <c:v>46082</c:v>
                </c:pt>
                <c:pt idx="31">
                  <c:v>46113</c:v>
                </c:pt>
                <c:pt idx="32">
                  <c:v>46143</c:v>
                </c:pt>
                <c:pt idx="33">
                  <c:v>46174</c:v>
                </c:pt>
                <c:pt idx="34">
                  <c:v>46204</c:v>
                </c:pt>
                <c:pt idx="35">
                  <c:v>46235</c:v>
                </c:pt>
                <c:pt idx="36">
                  <c:v>46266</c:v>
                </c:pt>
                <c:pt idx="37">
                  <c:v>46296</c:v>
                </c:pt>
                <c:pt idx="38">
                  <c:v>46327</c:v>
                </c:pt>
                <c:pt idx="39">
                  <c:v>46357</c:v>
                </c:pt>
              </c:numCache>
            </c:numRef>
          </c:cat>
          <c:val>
            <c:numRef>
              <c:f>'Balance Forecast'!$AE$12:$BR$12</c:f>
              <c:numCache>
                <c:formatCode>_-* #,##0_-;\-* #,##0_-;_-* "-"??_-;_-@_-</c:formatCode>
                <c:ptCount val="40"/>
                <c:pt idx="0">
                  <c:v>566.50149964600007</c:v>
                </c:pt>
                <c:pt idx="1">
                  <c:v>521.936421</c:v>
                </c:pt>
                <c:pt idx="2">
                  <c:v>232.15151818999999</c:v>
                </c:pt>
                <c:pt idx="3">
                  <c:v>742.48278352099999</c:v>
                </c:pt>
                <c:pt idx="4" formatCode="_-* #,##0_-;\-* #,##0_-;_-* \-??_-;_-@_-">
                  <c:v>566.50149964599996</c:v>
                </c:pt>
                <c:pt idx="5" formatCode="_-* #,##0_-;\-* #,##0_-;_-* \-??_-;_-@_-">
                  <c:v>521.936421</c:v>
                </c:pt>
                <c:pt idx="6" formatCode="_-* #,##0_-;\-* #,##0_-;_-* \-??_-;_-@_-">
                  <c:v>232.15151818999999</c:v>
                </c:pt>
                <c:pt idx="7" formatCode="_-* #,##0_-;\-* #,##0_-;_-* \-??_-;_-@_-">
                  <c:v>742.48278352099999</c:v>
                </c:pt>
                <c:pt idx="8" formatCode="_-* #,##0_-;\-* #,##0_-;_-* \-??_-;_-@_-">
                  <c:v>862.22247724700003</c:v>
                </c:pt>
                <c:pt idx="9" formatCode="_-* #,##0_-;\-* #,##0_-;_-* \-??_-;_-@_-">
                  <c:v>454.61259269800001</c:v>
                </c:pt>
                <c:pt idx="10" formatCode="_-* #,##0_-;\-* #,##0_-;_-* \-??_-;_-@_-">
                  <c:v>850.74768191199996</c:v>
                </c:pt>
                <c:pt idx="11" formatCode="_-* #,##0_-;\-* #,##0_-;_-* \-??_-;_-@_-">
                  <c:v>507.17462229900002</c:v>
                </c:pt>
                <c:pt idx="12" formatCode="_-* #,##0_-;\-* #,##0_-;_-* \-??_-;_-@_-">
                  <c:v>853.73257599199997</c:v>
                </c:pt>
                <c:pt idx="13" formatCode="_-* #,##0_-;\-* #,##0_-;_-* \-??_-;_-@_-">
                  <c:v>679.40435200000002</c:v>
                </c:pt>
                <c:pt idx="14" formatCode="_-* #,##0_-;\-* #,##0_-;_-* \-??_-;_-@_-">
                  <c:v>681.26643758399996</c:v>
                </c:pt>
                <c:pt idx="15" formatCode="_-* #,##0_-;\-* #,##0_-;_-* \-??_-;_-@_-">
                  <c:v>541.48273272799997</c:v>
                </c:pt>
                <c:pt idx="16" formatCode="_-* #,##0_-;\-* #,##0_-;_-* \-??_-;_-@_-">
                  <c:v>937.90260437999996</c:v>
                </c:pt>
                <c:pt idx="17" formatCode="_-* #,##0_-;\-* #,##0_-;_-* \-??_-;_-@_-">
                  <c:v>702.06049561899999</c:v>
                </c:pt>
                <c:pt idx="18" formatCode="_-* #,##0_-;\-* #,##0_-;_-* \-??_-;_-@_-">
                  <c:v>1096.5649758699999</c:v>
                </c:pt>
                <c:pt idx="19" formatCode="_-* #,##0_-;\-* #,##0_-;_-* \-??_-;_-@_-">
                  <c:v>699.64734049200001</c:v>
                </c:pt>
                <c:pt idx="20" formatCode="_-* #,##0_-;\-* #,##0_-;_-* \-??_-;_-@_-">
                  <c:v>732.70094618999997</c:v>
                </c:pt>
                <c:pt idx="21" formatCode="_-* #,##0_-;\-* #,##0_-;_-* \-??_-;_-@_-">
                  <c:v>499.91529824899999</c:v>
                </c:pt>
                <c:pt idx="22" formatCode="_-* #,##0_-;\-* #,##0_-;_-* \-??_-;_-@_-">
                  <c:v>638.70908324699997</c:v>
                </c:pt>
                <c:pt idx="23" formatCode="_-* #,##0_-;\-* #,##0_-;_-* \-??_-;_-@_-">
                  <c:v>925</c:v>
                </c:pt>
                <c:pt idx="24" formatCode="_-* #,##0_-;\-* #,##0_-;_-* \-??_-;_-@_-">
                  <c:v>1064</c:v>
                </c:pt>
                <c:pt idx="25" formatCode="_-* #,##0_-;\-* #,##0_-;_-* \-??_-;_-@_-">
                  <c:v>1021</c:v>
                </c:pt>
                <c:pt idx="26" formatCode="_-* #,##0_-;\-* #,##0_-;_-* \-??_-;_-@_-">
                  <c:v>618.40010468200012</c:v>
                </c:pt>
                <c:pt idx="27" formatCode="_-* #,##0_-;\-* #,##0_-;_-* \-??_-;_-@_-">
                  <c:v>534.47933557500005</c:v>
                </c:pt>
                <c:pt idx="28" formatCode="_-* #,##0_-;\-* #,##0_-;_-* \-??_-;_-@_-">
                  <c:v>674.77396191700007</c:v>
                </c:pt>
                <c:pt idx="29" formatCode="_-* #,##0_-;\-* #,##0_-;_-* \-??_-;_-@_-">
                  <c:v>674.77396191700007</c:v>
                </c:pt>
                <c:pt idx="30" formatCode="_-* #,##0_-;\-* #,##0_-;_-* \-??_-;_-@_-">
                  <c:v>674.77396191700007</c:v>
                </c:pt>
                <c:pt idx="31" formatCode="_-* #,##0_-;\-* #,##0_-;_-* \-??_-;_-@_-">
                  <c:v>740</c:v>
                </c:pt>
                <c:pt idx="32" formatCode="_-* #,##0_-;\-* #,##0_-;_-* \-??_-;_-@_-">
                  <c:v>620</c:v>
                </c:pt>
                <c:pt idx="33" formatCode="_-* #,##0_-;\-* #,##0_-;_-* \-??_-;_-@_-">
                  <c:v>651</c:v>
                </c:pt>
                <c:pt idx="34" formatCode="_-* #,##0_-;\-* #,##0_-;_-* \-??_-;_-@_-">
                  <c:v>647</c:v>
                </c:pt>
                <c:pt idx="35" formatCode="_-* #,##0_-;\-* #,##0_-;_-* \-??_-;_-@_-">
                  <c:v>665</c:v>
                </c:pt>
                <c:pt idx="36" formatCode="_-* #,##0_-;\-* #,##0_-;_-* \-??_-;_-@_-">
                  <c:v>896</c:v>
                </c:pt>
                <c:pt idx="37" formatCode="_-* #,##0_-;\-* #,##0_-;_-* \-??_-;_-@_-">
                  <c:v>705</c:v>
                </c:pt>
                <c:pt idx="38" formatCode="_-* #,##0_-;\-* #,##0_-;_-* \-??_-;_-@_-">
                  <c:v>812</c:v>
                </c:pt>
                <c:pt idx="39" formatCode="_-* #,##0_-;\-* #,##0_-;_-* \-??_-;_-@_-">
                  <c:v>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ED-4526-B86E-D9F594163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4239499"/>
        <c:axId val="77276210"/>
      </c:lineChart>
      <c:dateAx>
        <c:axId val="1761582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2013722"/>
        <c:crosses val="autoZero"/>
        <c:auto val="1"/>
        <c:lblOffset val="100"/>
        <c:baseTimeUnit val="months"/>
      </c:dateAx>
      <c:valAx>
        <c:axId val="12013722"/>
        <c:scaling>
          <c:orientation val="minMax"/>
          <c:max val="2500"/>
          <c:min val="-1200"/>
        </c:scaling>
        <c:delete val="0"/>
        <c:axPos val="r"/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Predicted MoM Stock change (Kt)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_-;\-* #,##0_-;_-* \-??_-;_-@_-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7615824"/>
        <c:crosses val="max"/>
        <c:crossBetween val="between"/>
        <c:majorUnit val="500"/>
      </c:valAx>
      <c:dateAx>
        <c:axId val="84239499"/>
        <c:scaling>
          <c:orientation val="minMax"/>
          <c:min val="44927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7276210"/>
        <c:crosses val="autoZero"/>
        <c:auto val="1"/>
        <c:lblOffset val="100"/>
        <c:baseTimeUnit val="months"/>
      </c:dateAx>
      <c:valAx>
        <c:axId val="7727621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GB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GB" sz="1000" b="0" strike="noStrike" spc="-1">
                    <a:solidFill>
                      <a:srgbClr val="595959"/>
                    </a:solidFill>
                    <a:latin typeface="Calibri"/>
                  </a:rPr>
                  <a:t>Volume (kt)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4239499"/>
        <c:crosses val="autoZero"/>
        <c:crossBetween val="between"/>
        <c:majorUnit val="5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207720</xdr:colOff>
      <xdr:row>20</xdr:row>
      <xdr:rowOff>66600</xdr:rowOff>
    </xdr:from>
    <xdr:to>
      <xdr:col>42</xdr:col>
      <xdr:colOff>45360</xdr:colOff>
      <xdr:row>55</xdr:row>
      <xdr:rowOff>18720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209520</xdr:colOff>
      <xdr:row>56</xdr:row>
      <xdr:rowOff>9360</xdr:rowOff>
    </xdr:from>
    <xdr:to>
      <xdr:col>42</xdr:col>
      <xdr:colOff>47160</xdr:colOff>
      <xdr:row>90</xdr:row>
      <xdr:rowOff>161280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207720</xdr:colOff>
      <xdr:row>20</xdr:row>
      <xdr:rowOff>66600</xdr:rowOff>
    </xdr:from>
    <xdr:to>
      <xdr:col>71</xdr:col>
      <xdr:colOff>45360</xdr:colOff>
      <xdr:row>55</xdr:row>
      <xdr:rowOff>18720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209520</xdr:colOff>
      <xdr:row>56</xdr:row>
      <xdr:rowOff>9360</xdr:rowOff>
    </xdr:from>
    <xdr:to>
      <xdr:col>39</xdr:col>
      <xdr:colOff>594007</xdr:colOff>
      <xdr:row>90</xdr:row>
      <xdr:rowOff>161280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9"/>
  <sheetViews>
    <sheetView zoomScaleNormal="100" workbookViewId="0">
      <selection activeCell="B19" sqref="B19"/>
    </sheetView>
  </sheetViews>
  <sheetFormatPr defaultColWidth="8.59765625" defaultRowHeight="15.6" x14ac:dyDescent="0.3"/>
  <cols>
    <col min="1" max="1" width="29.3984375" customWidth="1"/>
  </cols>
  <sheetData>
    <row r="2" spans="1:23" ht="15" customHeight="1" x14ac:dyDescent="0.3">
      <c r="A2" t="s">
        <v>0</v>
      </c>
      <c r="B2" t="s">
        <v>1</v>
      </c>
    </row>
    <row r="3" spans="1:23" ht="15" customHeight="1" x14ac:dyDescent="0.3">
      <c r="B3" t="s">
        <v>2</v>
      </c>
    </row>
    <row r="4" spans="1:23" ht="15" customHeight="1" x14ac:dyDescent="0.3">
      <c r="B4" t="s">
        <v>3</v>
      </c>
    </row>
    <row r="6" spans="1:23" ht="15" customHeight="1" x14ac:dyDescent="0.3">
      <c r="A6" t="s">
        <v>4</v>
      </c>
      <c r="B6" t="s">
        <v>5</v>
      </c>
    </row>
    <row r="7" spans="1:23" ht="15" customHeight="1" x14ac:dyDescent="0.3">
      <c r="B7" t="s">
        <v>2</v>
      </c>
    </row>
    <row r="8" spans="1:23" ht="15" customHeight="1" x14ac:dyDescent="0.3">
      <c r="B8" t="s">
        <v>3</v>
      </c>
    </row>
    <row r="10" spans="1:23" ht="15" customHeight="1" x14ac:dyDescent="0.3">
      <c r="A10" t="s">
        <v>6</v>
      </c>
      <c r="B10" t="s">
        <v>7</v>
      </c>
    </row>
    <row r="11" spans="1:23" ht="15" customHeight="1" x14ac:dyDescent="0.3">
      <c r="B11" t="s">
        <v>8</v>
      </c>
    </row>
    <row r="13" spans="1:23" ht="15" customHeight="1" x14ac:dyDescent="0.3">
      <c r="A13" t="s">
        <v>9</v>
      </c>
      <c r="B13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  <c r="R13" s="1" t="s">
        <v>17</v>
      </c>
      <c r="S13" s="1" t="s">
        <v>18</v>
      </c>
      <c r="T13" s="1" t="s">
        <v>19</v>
      </c>
      <c r="U13" s="1" t="s">
        <v>20</v>
      </c>
      <c r="V13" s="1" t="s">
        <v>21</v>
      </c>
      <c r="W13" s="1" t="s">
        <v>22</v>
      </c>
    </row>
    <row r="15" spans="1:23" ht="15" customHeight="1" x14ac:dyDescent="0.3">
      <c r="A15" t="s">
        <v>23</v>
      </c>
      <c r="B15" t="s">
        <v>24</v>
      </c>
    </row>
    <row r="17" spans="1:2" ht="15" customHeight="1" x14ac:dyDescent="0.3">
      <c r="A17" t="s">
        <v>25</v>
      </c>
      <c r="B17" t="s">
        <v>26</v>
      </c>
    </row>
    <row r="19" spans="1:2" ht="15" customHeight="1" x14ac:dyDescent="0.3">
      <c r="A19" t="s">
        <v>27</v>
      </c>
      <c r="B19" t="s">
        <v>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65"/>
  <sheetViews>
    <sheetView topLeftCell="A13" zoomScaleNormal="100" workbookViewId="0">
      <pane xSplit="1" topLeftCell="B1" activePane="topRight" state="frozen"/>
      <selection activeCell="A25" sqref="A25"/>
      <selection pane="topRight" activeCell="B3" sqref="B3:B31"/>
    </sheetView>
  </sheetViews>
  <sheetFormatPr defaultColWidth="8.59765625" defaultRowHeight="15.6" x14ac:dyDescent="0.3"/>
  <cols>
    <col min="1" max="3" width="12.09765625" customWidth="1"/>
    <col min="4" max="67" width="9" style="2" customWidth="1"/>
  </cols>
  <sheetData>
    <row r="1" spans="1:57" ht="15" customHeight="1" x14ac:dyDescent="0.3">
      <c r="A1" s="3" t="s">
        <v>29</v>
      </c>
      <c r="B1" s="3" t="s">
        <v>30</v>
      </c>
      <c r="C1" s="3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55</v>
      </c>
      <c r="AB1" s="2" t="s">
        <v>56</v>
      </c>
      <c r="AC1" s="2" t="s">
        <v>57</v>
      </c>
      <c r="AD1" s="2" t="s">
        <v>58</v>
      </c>
      <c r="AE1" s="2" t="s">
        <v>59</v>
      </c>
      <c r="AF1" s="2" t="s">
        <v>60</v>
      </c>
      <c r="AG1" s="2" t="s">
        <v>61</v>
      </c>
      <c r="AH1" s="2" t="s">
        <v>62</v>
      </c>
      <c r="AI1" s="2" t="s">
        <v>63</v>
      </c>
      <c r="AJ1" s="2" t="s">
        <v>64</v>
      </c>
      <c r="AK1" s="2" t="s">
        <v>65</v>
      </c>
      <c r="AL1" s="2" t="s">
        <v>66</v>
      </c>
      <c r="AM1" s="2" t="s">
        <v>67</v>
      </c>
      <c r="AN1" s="2" t="s">
        <v>68</v>
      </c>
      <c r="AO1" s="2" t="s">
        <v>69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2" t="s">
        <v>75</v>
      </c>
      <c r="AV1" s="2" t="s">
        <v>76</v>
      </c>
      <c r="AW1" s="2" t="s">
        <v>77</v>
      </c>
      <c r="AX1" s="2" t="s">
        <v>78</v>
      </c>
      <c r="AY1" s="2" t="s">
        <v>79</v>
      </c>
      <c r="AZ1" s="2" t="s">
        <v>80</v>
      </c>
      <c r="BA1" s="2" t="s">
        <v>81</v>
      </c>
      <c r="BB1" s="2" t="s">
        <v>82</v>
      </c>
      <c r="BC1" s="2" t="s">
        <v>83</v>
      </c>
      <c r="BD1" s="2" t="s">
        <v>84</v>
      </c>
      <c r="BE1" s="2" t="s">
        <v>85</v>
      </c>
    </row>
    <row r="2" spans="1:57" ht="15" customHeight="1" x14ac:dyDescent="0.3">
      <c r="A2" s="4" t="s">
        <v>29</v>
      </c>
      <c r="B2" s="5">
        <f t="shared" ref="B2:B33" si="0">SUM(C2:XFD2)</f>
        <v>2369.8216260000004</v>
      </c>
      <c r="C2" s="5"/>
      <c r="D2" s="2">
        <v>511.43924099999998</v>
      </c>
      <c r="E2" s="2">
        <v>738.36020399999995</v>
      </c>
      <c r="F2" s="2">
        <v>26.830563000000001</v>
      </c>
      <c r="G2" s="2">
        <v>116.882655</v>
      </c>
      <c r="H2" s="2">
        <v>0</v>
      </c>
      <c r="I2" s="2">
        <v>72.204674999999995</v>
      </c>
      <c r="J2" s="2">
        <v>38.594433000000002</v>
      </c>
      <c r="K2" s="2">
        <v>49.081110000000002</v>
      </c>
      <c r="L2" s="2">
        <v>92.682558</v>
      </c>
      <c r="M2" s="2">
        <v>0</v>
      </c>
      <c r="N2" s="2">
        <v>0</v>
      </c>
      <c r="O2" s="2">
        <v>146.28281999999999</v>
      </c>
      <c r="P2" s="2">
        <v>0</v>
      </c>
      <c r="Q2" s="2">
        <v>37.506489000000002</v>
      </c>
      <c r="R2" s="2">
        <v>24.551967000000001</v>
      </c>
      <c r="S2" s="2">
        <v>6.7131090000000002</v>
      </c>
      <c r="T2" s="2">
        <v>0</v>
      </c>
      <c r="U2" s="2">
        <v>76.376711999999998</v>
      </c>
      <c r="V2" s="2">
        <v>120.595359</v>
      </c>
      <c r="W2" s="2">
        <v>0</v>
      </c>
      <c r="X2" s="2">
        <v>0</v>
      </c>
      <c r="Y2" s="2">
        <v>39.188808000000002</v>
      </c>
      <c r="Z2" s="2">
        <v>0</v>
      </c>
      <c r="AA2" s="2">
        <v>61.567740000000001</v>
      </c>
      <c r="AB2" s="2">
        <v>59.199750000000002</v>
      </c>
      <c r="AC2" s="2">
        <v>0</v>
      </c>
      <c r="AD2" s="2">
        <v>34.542222000000002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73.873679999999993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35.945898</v>
      </c>
      <c r="AZ2" s="2">
        <v>0</v>
      </c>
      <c r="BA2" s="2">
        <v>0</v>
      </c>
      <c r="BB2" s="2">
        <v>0</v>
      </c>
      <c r="BC2" s="2">
        <v>0</v>
      </c>
      <c r="BD2" s="2">
        <v>7.4016330000000004</v>
      </c>
      <c r="BE2" s="2">
        <v>0</v>
      </c>
    </row>
    <row r="3" spans="1:57" ht="15" customHeight="1" x14ac:dyDescent="0.3">
      <c r="A3" s="4" t="s">
        <v>86</v>
      </c>
      <c r="B3" s="5">
        <f t="shared" si="0"/>
        <v>1965.4136024700001</v>
      </c>
      <c r="C3" s="5"/>
      <c r="D3" s="2">
        <v>233.265084</v>
      </c>
      <c r="E3" s="2">
        <v>425.171178</v>
      </c>
      <c r="F3" s="2">
        <v>59.341448999999997</v>
      </c>
      <c r="G3" s="2">
        <v>0</v>
      </c>
      <c r="H3" s="2">
        <v>0</v>
      </c>
      <c r="I3" s="2">
        <v>197.10045600000001</v>
      </c>
      <c r="J3" s="2">
        <v>218.129919</v>
      </c>
      <c r="K3" s="2">
        <v>50.964089999999999</v>
      </c>
      <c r="L3" s="2">
        <v>93.769551000000007</v>
      </c>
      <c r="M3" s="2">
        <v>0</v>
      </c>
      <c r="N3" s="2">
        <v>0</v>
      </c>
      <c r="O3" s="2">
        <v>105.204375</v>
      </c>
      <c r="P3" s="2">
        <v>0</v>
      </c>
      <c r="Q3" s="2">
        <v>0</v>
      </c>
      <c r="R3" s="2">
        <v>86.535293999999993</v>
      </c>
      <c r="S3" s="2">
        <v>6.7131090000000002</v>
      </c>
      <c r="T3" s="2">
        <v>0</v>
      </c>
      <c r="U3" s="2">
        <v>0</v>
      </c>
      <c r="V3" s="2">
        <v>158.118966</v>
      </c>
      <c r="W3" s="2">
        <v>0</v>
      </c>
      <c r="X3" s="2">
        <v>0</v>
      </c>
      <c r="Y3" s="2">
        <v>49.288428000000003</v>
      </c>
      <c r="Z3" s="2">
        <v>0</v>
      </c>
      <c r="AA3" s="2">
        <v>215.17326</v>
      </c>
      <c r="AB3" s="2">
        <v>0</v>
      </c>
      <c r="AC3" s="2">
        <v>0</v>
      </c>
      <c r="AD3" s="2">
        <v>0</v>
      </c>
      <c r="AE3" s="2">
        <v>40.934843999999998</v>
      </c>
      <c r="AF3" s="2">
        <v>0</v>
      </c>
      <c r="AG3" s="2">
        <v>0</v>
      </c>
      <c r="AH3" s="2">
        <v>0</v>
      </c>
      <c r="AI3" s="2">
        <v>25.70359947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</row>
    <row r="4" spans="1:57" ht="15" customHeight="1" x14ac:dyDescent="0.3">
      <c r="A4" s="4" t="s">
        <v>87</v>
      </c>
      <c r="B4" s="5">
        <f t="shared" si="0"/>
        <v>2480.4476519999994</v>
      </c>
      <c r="C4" s="5"/>
      <c r="D4" s="2">
        <v>375.532782</v>
      </c>
      <c r="E4" s="2">
        <v>551.13302999999996</v>
      </c>
      <c r="F4" s="2">
        <v>62.559632999999998</v>
      </c>
      <c r="G4" s="2">
        <v>216.60071099999999</v>
      </c>
      <c r="H4" s="2">
        <v>0</v>
      </c>
      <c r="I4" s="2">
        <v>95.333945999999997</v>
      </c>
      <c r="J4" s="2">
        <v>126.366978</v>
      </c>
      <c r="K4" s="2">
        <v>0</v>
      </c>
      <c r="L4" s="2">
        <v>70.967423999999994</v>
      </c>
      <c r="M4" s="2">
        <v>89.312213999999997</v>
      </c>
      <c r="N4" s="2">
        <v>65.666550000000001</v>
      </c>
      <c r="O4" s="2">
        <v>156.78185999999999</v>
      </c>
      <c r="P4" s="2">
        <v>0</v>
      </c>
      <c r="Q4" s="2">
        <v>96.800387999999998</v>
      </c>
      <c r="R4" s="2">
        <v>0</v>
      </c>
      <c r="S4" s="2">
        <v>15.470867999999999</v>
      </c>
      <c r="T4" s="2">
        <v>116.37387</v>
      </c>
      <c r="U4" s="2">
        <v>17.55546</v>
      </c>
      <c r="V4" s="2">
        <v>30.749634</v>
      </c>
      <c r="W4" s="2">
        <v>0</v>
      </c>
      <c r="X4" s="2">
        <v>202.107471</v>
      </c>
      <c r="Y4" s="2">
        <v>0</v>
      </c>
      <c r="Z4" s="2">
        <v>0</v>
      </c>
      <c r="AA4" s="2">
        <v>177.00012000000001</v>
      </c>
      <c r="AB4" s="2">
        <v>14.134713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</row>
    <row r="5" spans="1:57" ht="15" customHeight="1" x14ac:dyDescent="0.3">
      <c r="A5" s="4" t="s">
        <v>88</v>
      </c>
      <c r="B5" s="5">
        <f t="shared" si="0"/>
        <v>2021.7270959999998</v>
      </c>
      <c r="C5" s="5"/>
      <c r="D5" s="2">
        <v>139.99956299999999</v>
      </c>
      <c r="E5" s="2">
        <v>698.596992</v>
      </c>
      <c r="F5" s="2">
        <v>111.53803499999999</v>
      </c>
      <c r="G5" s="2">
        <v>73.133802000000003</v>
      </c>
      <c r="H5" s="2">
        <v>0</v>
      </c>
      <c r="I5" s="2">
        <v>114.12570599999999</v>
      </c>
      <c r="J5" s="2">
        <v>68.070678000000001</v>
      </c>
      <c r="K5" s="2">
        <v>0</v>
      </c>
      <c r="L5" s="2">
        <v>94.030124999999998</v>
      </c>
      <c r="M5" s="2">
        <v>30.238947</v>
      </c>
      <c r="N5" s="2">
        <v>0</v>
      </c>
      <c r="O5" s="2">
        <v>88.824350999999993</v>
      </c>
      <c r="P5" s="2">
        <v>12.992562</v>
      </c>
      <c r="Q5" s="2">
        <v>0</v>
      </c>
      <c r="R5" s="2">
        <v>0</v>
      </c>
      <c r="S5" s="2">
        <v>23.355609000000001</v>
      </c>
      <c r="T5" s="2">
        <v>0</v>
      </c>
      <c r="U5" s="2">
        <v>0</v>
      </c>
      <c r="V5" s="2">
        <v>39.854508000000003</v>
      </c>
      <c r="W5" s="2">
        <v>0</v>
      </c>
      <c r="X5" s="2">
        <v>39.003363</v>
      </c>
      <c r="Y5" s="2">
        <v>0</v>
      </c>
      <c r="Z5" s="2">
        <v>0</v>
      </c>
      <c r="AA5" s="2">
        <v>83.999927999999997</v>
      </c>
      <c r="AB5" s="2">
        <v>137.598288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157.34865600000001</v>
      </c>
      <c r="AI5" s="2">
        <v>0</v>
      </c>
      <c r="AJ5" s="2">
        <v>0</v>
      </c>
      <c r="AK5" s="2">
        <v>0</v>
      </c>
      <c r="AL5" s="2">
        <v>39.404685000000001</v>
      </c>
      <c r="AM5" s="2">
        <v>0</v>
      </c>
      <c r="AN5" s="2">
        <v>54.324924000000003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15.286374</v>
      </c>
      <c r="BB5" s="2">
        <v>0</v>
      </c>
      <c r="BC5" s="2">
        <v>0</v>
      </c>
      <c r="BD5" s="2">
        <v>0</v>
      </c>
      <c r="BE5" s="2">
        <v>0</v>
      </c>
    </row>
    <row r="6" spans="1:57" ht="15" customHeight="1" x14ac:dyDescent="0.3">
      <c r="A6" s="4" t="s">
        <v>89</v>
      </c>
      <c r="B6" s="5">
        <f t="shared" si="0"/>
        <v>2549.1060480000001</v>
      </c>
      <c r="C6" s="5"/>
      <c r="D6" s="2">
        <v>435.88038899999998</v>
      </c>
      <c r="E6" s="2">
        <v>528.96426899999994</v>
      </c>
      <c r="F6" s="2">
        <v>36.598284</v>
      </c>
      <c r="G6" s="2">
        <v>188.86099200000001</v>
      </c>
      <c r="H6" s="2">
        <v>0</v>
      </c>
      <c r="I6" s="2">
        <v>230.91706500000001</v>
      </c>
      <c r="J6" s="2">
        <v>68.562344999999993</v>
      </c>
      <c r="K6" s="2">
        <v>0</v>
      </c>
      <c r="L6" s="2">
        <v>45.999870000000001</v>
      </c>
      <c r="M6" s="2">
        <v>98.279193000000006</v>
      </c>
      <c r="N6" s="2">
        <v>0</v>
      </c>
      <c r="O6" s="2">
        <v>0</v>
      </c>
      <c r="P6" s="2">
        <v>47.000321999999997</v>
      </c>
      <c r="Q6" s="2">
        <v>70.799097000000003</v>
      </c>
      <c r="R6" s="2">
        <v>207.40549200000001</v>
      </c>
      <c r="S6" s="2">
        <v>6.7131090000000002</v>
      </c>
      <c r="T6" s="2">
        <v>62.808795000000003</v>
      </c>
      <c r="U6" s="2">
        <v>157.892628</v>
      </c>
      <c r="V6" s="2">
        <v>39.302928000000001</v>
      </c>
      <c r="W6" s="2">
        <v>42.768371999999999</v>
      </c>
      <c r="X6" s="2">
        <v>75.088106999999994</v>
      </c>
      <c r="Y6" s="2">
        <v>0</v>
      </c>
      <c r="Z6" s="2">
        <v>0</v>
      </c>
      <c r="AA6" s="2">
        <v>28.187639999999998</v>
      </c>
      <c r="AB6" s="2">
        <v>44.198675999999999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30.678308999999999</v>
      </c>
      <c r="AJ6" s="2">
        <v>89.613681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12.586485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</row>
    <row r="7" spans="1:57" ht="15" customHeight="1" x14ac:dyDescent="0.3">
      <c r="A7" s="4" t="s">
        <v>90</v>
      </c>
      <c r="B7" s="5">
        <f t="shared" si="0"/>
        <v>2645.7647369999995</v>
      </c>
      <c r="C7" s="5"/>
      <c r="D7" s="2">
        <v>234.55368899999999</v>
      </c>
      <c r="E7" s="2">
        <v>457.28169300000002</v>
      </c>
      <c r="F7" s="2">
        <v>125.927616</v>
      </c>
      <c r="G7" s="2">
        <v>250.692159</v>
      </c>
      <c r="H7" s="2">
        <v>0</v>
      </c>
      <c r="I7" s="2">
        <v>149.42587499999999</v>
      </c>
      <c r="J7" s="2">
        <v>130.88708099999999</v>
      </c>
      <c r="K7" s="2">
        <v>166.332753</v>
      </c>
      <c r="L7" s="2">
        <v>114.635442</v>
      </c>
      <c r="M7" s="2">
        <v>282.288183</v>
      </c>
      <c r="N7" s="2">
        <v>0</v>
      </c>
      <c r="O7" s="2">
        <v>25.994634000000001</v>
      </c>
      <c r="P7" s="2">
        <v>96.272582999999997</v>
      </c>
      <c r="Q7" s="2">
        <v>60.424638000000002</v>
      </c>
      <c r="R7" s="2">
        <v>115.45235099999999</v>
      </c>
      <c r="S7" s="2">
        <v>1.8154589999999999</v>
      </c>
      <c r="T7" s="2">
        <v>0</v>
      </c>
      <c r="U7" s="2">
        <v>0</v>
      </c>
      <c r="V7" s="2">
        <v>0</v>
      </c>
      <c r="W7" s="2">
        <v>106.732632</v>
      </c>
      <c r="X7" s="2">
        <v>180.858327</v>
      </c>
      <c r="Y7" s="2">
        <v>0</v>
      </c>
      <c r="Z7" s="2">
        <v>0</v>
      </c>
      <c r="AA7" s="2">
        <v>0</v>
      </c>
      <c r="AB7" s="2">
        <v>41.261037000000002</v>
      </c>
      <c r="AC7" s="2">
        <v>35.955407999999998</v>
      </c>
      <c r="AD7" s="2">
        <v>39.301977000000001</v>
      </c>
      <c r="AE7" s="2">
        <v>0</v>
      </c>
      <c r="AF7" s="2">
        <v>29.671199999999999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</row>
    <row r="8" spans="1:57" ht="15" customHeight="1" x14ac:dyDescent="0.3">
      <c r="A8" s="4" t="s">
        <v>91</v>
      </c>
      <c r="B8" s="5">
        <f t="shared" si="0"/>
        <v>3029.9259419999994</v>
      </c>
      <c r="C8" s="5"/>
      <c r="D8" s="2">
        <v>625.83598199999994</v>
      </c>
      <c r="E8" s="2">
        <v>449.47873800000002</v>
      </c>
      <c r="F8" s="2">
        <v>99.545924999999997</v>
      </c>
      <c r="G8" s="2">
        <v>271.95747</v>
      </c>
      <c r="H8" s="2">
        <v>0</v>
      </c>
      <c r="I8" s="2">
        <v>147.295635</v>
      </c>
      <c r="J8" s="2">
        <v>119.863089</v>
      </c>
      <c r="K8" s="2">
        <v>310.56331499999999</v>
      </c>
      <c r="L8" s="2">
        <v>55.195089000000003</v>
      </c>
      <c r="M8" s="2">
        <v>85.387437000000006</v>
      </c>
      <c r="N8" s="2">
        <v>0</v>
      </c>
      <c r="O8" s="2">
        <v>25.995584999999998</v>
      </c>
      <c r="P8" s="2">
        <v>0</v>
      </c>
      <c r="Q8" s="2">
        <v>87.280878000000001</v>
      </c>
      <c r="R8" s="2">
        <v>87.613727999999995</v>
      </c>
      <c r="S8" s="2">
        <v>22.368471</v>
      </c>
      <c r="T8" s="2">
        <v>17.848368000000001</v>
      </c>
      <c r="U8" s="2">
        <v>106.712661</v>
      </c>
      <c r="V8" s="2">
        <v>38.863565999999999</v>
      </c>
      <c r="W8" s="2">
        <v>99.448922999999994</v>
      </c>
      <c r="X8" s="2">
        <v>235.63878</v>
      </c>
      <c r="Y8" s="2">
        <v>0</v>
      </c>
      <c r="Z8" s="2">
        <v>0</v>
      </c>
      <c r="AA8" s="2">
        <v>0</v>
      </c>
      <c r="AB8" s="2">
        <v>9.1419630000000005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45.000368999999999</v>
      </c>
      <c r="AK8" s="2">
        <v>46.631334000000003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42.258636000000003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</row>
    <row r="9" spans="1:57" ht="15" customHeight="1" x14ac:dyDescent="0.3">
      <c r="A9" s="4" t="s">
        <v>92</v>
      </c>
      <c r="B9" s="5">
        <f t="shared" si="0"/>
        <v>1863.0337260000006</v>
      </c>
      <c r="C9" s="5"/>
      <c r="D9" s="2">
        <v>374.42581799999999</v>
      </c>
      <c r="E9" s="2">
        <v>277.58834100000001</v>
      </c>
      <c r="F9" s="2">
        <v>179.479377</v>
      </c>
      <c r="G9" s="2">
        <v>79.888755000000003</v>
      </c>
      <c r="H9" s="2">
        <v>0</v>
      </c>
      <c r="I9" s="2">
        <v>98.227839000000003</v>
      </c>
      <c r="J9" s="2">
        <v>44.546742000000002</v>
      </c>
      <c r="K9" s="2">
        <v>113.15949000000001</v>
      </c>
      <c r="L9" s="2">
        <v>0</v>
      </c>
      <c r="M9" s="2">
        <v>0</v>
      </c>
      <c r="N9" s="2">
        <v>0</v>
      </c>
      <c r="O9" s="2">
        <v>129.16672199999999</v>
      </c>
      <c r="P9" s="2">
        <v>209.37216000000001</v>
      </c>
      <c r="Q9" s="2">
        <v>0</v>
      </c>
      <c r="R9" s="2">
        <v>0</v>
      </c>
      <c r="S9" s="2">
        <v>51.679242000000002</v>
      </c>
      <c r="T9" s="2">
        <v>33.727215000000001</v>
      </c>
      <c r="U9" s="2">
        <v>0</v>
      </c>
      <c r="V9" s="2">
        <v>52.131917999999999</v>
      </c>
      <c r="W9" s="2">
        <v>0</v>
      </c>
      <c r="X9" s="2">
        <v>40.999512000000003</v>
      </c>
      <c r="Y9" s="2">
        <v>0</v>
      </c>
      <c r="Z9" s="2">
        <v>0</v>
      </c>
      <c r="AA9" s="2">
        <v>0</v>
      </c>
      <c r="AB9" s="2">
        <v>20.888715000000001</v>
      </c>
      <c r="AC9" s="2">
        <v>0</v>
      </c>
      <c r="AD9" s="2">
        <v>40.934843999999998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71.222291999999996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45.594743999999999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</row>
    <row r="10" spans="1:57" ht="15" customHeight="1" x14ac:dyDescent="0.3">
      <c r="A10" s="4" t="s">
        <v>93</v>
      </c>
      <c r="B10" s="5">
        <f t="shared" si="0"/>
        <v>2139.3772079999994</v>
      </c>
      <c r="C10" s="5"/>
      <c r="D10" s="2">
        <v>593.30797800000005</v>
      </c>
      <c r="E10" s="2">
        <v>633.83864700000004</v>
      </c>
      <c r="F10" s="2">
        <v>108.839097</v>
      </c>
      <c r="G10" s="2">
        <v>0</v>
      </c>
      <c r="H10" s="2">
        <v>0</v>
      </c>
      <c r="I10" s="2">
        <v>82.892964000000006</v>
      </c>
      <c r="J10" s="2">
        <v>45.074547000000003</v>
      </c>
      <c r="K10" s="2">
        <v>74.173244999999994</v>
      </c>
      <c r="L10" s="2">
        <v>46.490586</v>
      </c>
      <c r="M10" s="2">
        <v>25.411670999999998</v>
      </c>
      <c r="N10" s="2">
        <v>0</v>
      </c>
      <c r="O10" s="2">
        <v>44.929994999999998</v>
      </c>
      <c r="P10" s="2">
        <v>50.245134</v>
      </c>
      <c r="Q10" s="2">
        <v>39.486471000000002</v>
      </c>
      <c r="R10" s="2">
        <v>0</v>
      </c>
      <c r="S10" s="2">
        <v>21.833058000000001</v>
      </c>
      <c r="T10" s="2">
        <v>0</v>
      </c>
      <c r="U10" s="2">
        <v>71.721566999999993</v>
      </c>
      <c r="V10" s="2">
        <v>113.27931599999999</v>
      </c>
      <c r="W10" s="2">
        <v>0</v>
      </c>
      <c r="X10" s="2">
        <v>8.6493450000000003</v>
      </c>
      <c r="Y10" s="2">
        <v>64.588115999999999</v>
      </c>
      <c r="Z10" s="2">
        <v>0</v>
      </c>
      <c r="AA10" s="2">
        <v>0</v>
      </c>
      <c r="AB10" s="2">
        <v>0</v>
      </c>
      <c r="AC10" s="2">
        <v>114.615471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</row>
    <row r="11" spans="1:57" ht="15" customHeight="1" x14ac:dyDescent="0.3">
      <c r="A11" s="4" t="s">
        <v>94</v>
      </c>
      <c r="B11" s="5">
        <f t="shared" si="0"/>
        <v>2560.7072969999999</v>
      </c>
      <c r="C11" s="5"/>
      <c r="D11" s="2">
        <v>821.14760699999999</v>
      </c>
      <c r="E11" s="2">
        <v>420.47799300000003</v>
      </c>
      <c r="F11" s="2">
        <v>84.775943999999996</v>
      </c>
      <c r="G11" s="2">
        <v>288.81014099999999</v>
      </c>
      <c r="H11" s="2">
        <v>0</v>
      </c>
      <c r="I11" s="2">
        <v>67.298466000000005</v>
      </c>
      <c r="J11" s="2">
        <v>89.201898</v>
      </c>
      <c r="K11" s="2">
        <v>38.000058000000003</v>
      </c>
      <c r="L11" s="2">
        <v>22.621437</v>
      </c>
      <c r="M11" s="2">
        <v>17.833151999999998</v>
      </c>
      <c r="N11" s="2">
        <v>0</v>
      </c>
      <c r="O11" s="2">
        <v>0</v>
      </c>
      <c r="P11" s="2">
        <v>40.000011000000001</v>
      </c>
      <c r="Q11" s="2">
        <v>85.834406999999999</v>
      </c>
      <c r="R11" s="2">
        <v>85.198188000000002</v>
      </c>
      <c r="S11" s="2">
        <v>155.58169799999999</v>
      </c>
      <c r="T11" s="2">
        <v>0</v>
      </c>
      <c r="U11" s="2">
        <v>0</v>
      </c>
      <c r="V11" s="2">
        <v>6.3745529999999997</v>
      </c>
      <c r="W11" s="2">
        <v>0</v>
      </c>
      <c r="X11" s="2">
        <v>0</v>
      </c>
      <c r="Y11" s="2">
        <v>135.18179699999999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132.05205599999999</v>
      </c>
      <c r="AI11" s="2">
        <v>0</v>
      </c>
      <c r="AJ11" s="2">
        <v>0</v>
      </c>
      <c r="AK11" s="2">
        <v>42.449787000000001</v>
      </c>
      <c r="AL11" s="2">
        <v>0</v>
      </c>
      <c r="AM11" s="2">
        <v>0</v>
      </c>
      <c r="AN11" s="2">
        <v>25.540056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2.3280479999999999</v>
      </c>
    </row>
    <row r="12" spans="1:57" ht="15" customHeight="1" x14ac:dyDescent="0.3">
      <c r="A12" s="4" t="s">
        <v>95</v>
      </c>
      <c r="B12" s="5">
        <f t="shared" si="0"/>
        <v>1839.9396420000003</v>
      </c>
      <c r="C12" s="5"/>
      <c r="D12" s="2">
        <v>406.11123600000002</v>
      </c>
      <c r="E12" s="2">
        <v>317.25360000000001</v>
      </c>
      <c r="F12" s="2">
        <v>179.15889000000001</v>
      </c>
      <c r="G12" s="2">
        <v>179.60681099999999</v>
      </c>
      <c r="H12" s="2">
        <v>0</v>
      </c>
      <c r="I12" s="2">
        <v>11.553699</v>
      </c>
      <c r="J12" s="2">
        <v>191.292699</v>
      </c>
      <c r="K12" s="2">
        <v>101.882532</v>
      </c>
      <c r="L12" s="2">
        <v>91.908444000000003</v>
      </c>
      <c r="M12" s="2">
        <v>0</v>
      </c>
      <c r="N12" s="2">
        <v>0</v>
      </c>
      <c r="O12" s="2">
        <v>13.000170000000001</v>
      </c>
      <c r="P12" s="2">
        <v>116.085717</v>
      </c>
      <c r="Q12" s="2">
        <v>0</v>
      </c>
      <c r="R12" s="2">
        <v>0</v>
      </c>
      <c r="S12" s="2">
        <v>29.01501</v>
      </c>
      <c r="T12" s="2">
        <v>73.723421999999999</v>
      </c>
      <c r="U12" s="2">
        <v>12.234615</v>
      </c>
      <c r="V12" s="2">
        <v>0</v>
      </c>
      <c r="W12" s="2">
        <v>49.345488000000003</v>
      </c>
      <c r="X12" s="2">
        <v>30.000246000000001</v>
      </c>
      <c r="Y12" s="2">
        <v>4.7673629999999996</v>
      </c>
      <c r="Z12" s="2">
        <v>0</v>
      </c>
      <c r="AA12" s="2">
        <v>0</v>
      </c>
      <c r="AB12" s="2">
        <v>32.999699999999997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</row>
    <row r="13" spans="1:57" ht="15" customHeight="1" x14ac:dyDescent="0.3">
      <c r="A13" s="4" t="s">
        <v>96</v>
      </c>
      <c r="B13" s="5">
        <f t="shared" si="0"/>
        <v>1501.2775199100001</v>
      </c>
      <c r="C13" s="5"/>
      <c r="D13" s="2">
        <v>211.08681300000001</v>
      </c>
      <c r="E13" s="2">
        <v>469.265244</v>
      </c>
      <c r="F13" s="2">
        <v>191.842377</v>
      </c>
      <c r="G13" s="2">
        <v>129.999798</v>
      </c>
      <c r="H13" s="2">
        <v>0</v>
      </c>
      <c r="I13" s="2">
        <v>117.111846</v>
      </c>
      <c r="J13" s="2">
        <v>47.504351999999997</v>
      </c>
      <c r="K13" s="2">
        <v>0</v>
      </c>
      <c r="L13" s="2">
        <v>19.99953</v>
      </c>
      <c r="M13" s="2">
        <v>40.164534000000003</v>
      </c>
      <c r="N13" s="2">
        <v>0</v>
      </c>
      <c r="O13" s="2">
        <v>0</v>
      </c>
      <c r="P13" s="2">
        <v>80.996108910000004</v>
      </c>
      <c r="Q13" s="2">
        <v>0</v>
      </c>
      <c r="R13" s="2">
        <v>40.979540999999998</v>
      </c>
      <c r="S13" s="2">
        <v>3.5006309999999998</v>
      </c>
      <c r="T13" s="2">
        <v>0</v>
      </c>
      <c r="U13" s="2">
        <v>0</v>
      </c>
      <c r="V13" s="2">
        <v>2.4735510000000001</v>
      </c>
      <c r="W13" s="2">
        <v>0</v>
      </c>
      <c r="X13" s="2">
        <v>0</v>
      </c>
      <c r="Y13" s="2">
        <v>42.660908999999997</v>
      </c>
      <c r="Z13" s="2">
        <v>0</v>
      </c>
      <c r="AA13" s="2">
        <v>0</v>
      </c>
      <c r="AB13" s="2">
        <v>0</v>
      </c>
      <c r="AC13" s="2">
        <v>0</v>
      </c>
      <c r="AD13" s="2">
        <v>26.469183000000001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19.458411000000002</v>
      </c>
      <c r="AL13" s="2">
        <v>31.417235999999999</v>
      </c>
      <c r="AM13" s="2">
        <v>0</v>
      </c>
      <c r="AN13" s="2">
        <v>0</v>
      </c>
      <c r="AO13" s="2">
        <v>0</v>
      </c>
      <c r="AP13" s="2">
        <v>26.347455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</row>
    <row r="14" spans="1:57" ht="15" customHeight="1" x14ac:dyDescent="0.3">
      <c r="A14" s="4" t="s">
        <v>97</v>
      </c>
      <c r="B14" s="5">
        <f t="shared" si="0"/>
        <v>1825.0954830000003</v>
      </c>
      <c r="C14" s="5"/>
      <c r="D14" s="2">
        <v>246.146379</v>
      </c>
      <c r="E14" s="2">
        <v>547.598163</v>
      </c>
      <c r="F14" s="2">
        <v>342.85166700000002</v>
      </c>
      <c r="G14" s="2">
        <v>0</v>
      </c>
      <c r="H14" s="2">
        <v>0</v>
      </c>
      <c r="I14" s="2">
        <v>110.899914</v>
      </c>
      <c r="J14" s="2">
        <v>116.82464400000001</v>
      </c>
      <c r="K14" s="2">
        <v>166.14730800000001</v>
      </c>
      <c r="L14" s="2">
        <v>0</v>
      </c>
      <c r="M14" s="2">
        <v>0</v>
      </c>
      <c r="N14" s="2">
        <v>0</v>
      </c>
      <c r="O14" s="2">
        <v>0</v>
      </c>
      <c r="P14" s="2">
        <v>72.689684999999997</v>
      </c>
      <c r="Q14" s="2">
        <v>0</v>
      </c>
      <c r="R14" s="2">
        <v>0</v>
      </c>
      <c r="S14" s="2">
        <v>0</v>
      </c>
      <c r="T14" s="2">
        <v>110.00026800000001</v>
      </c>
      <c r="U14" s="2">
        <v>0</v>
      </c>
      <c r="V14" s="2">
        <v>40.000011000000001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32.916963000000003</v>
      </c>
      <c r="AL14" s="2">
        <v>0</v>
      </c>
      <c r="AM14" s="2">
        <v>0</v>
      </c>
      <c r="AN14" s="2">
        <v>0</v>
      </c>
      <c r="AO14" s="2">
        <v>39.020480999999997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</row>
    <row r="15" spans="1:57" ht="15" customHeight="1" x14ac:dyDescent="0.3">
      <c r="A15" s="4" t="s">
        <v>98</v>
      </c>
      <c r="B15" s="5">
        <f t="shared" si="0"/>
        <v>2138.36276679</v>
      </c>
      <c r="C15" s="5"/>
      <c r="D15" s="2">
        <v>685.11181199999999</v>
      </c>
      <c r="E15" s="2">
        <v>587.62670400000002</v>
      </c>
      <c r="F15" s="2">
        <v>238.25878499999999</v>
      </c>
      <c r="G15" s="2">
        <v>0</v>
      </c>
      <c r="H15" s="2">
        <v>0</v>
      </c>
      <c r="I15" s="2">
        <v>95.962557000000004</v>
      </c>
      <c r="J15" s="2">
        <v>102.778374</v>
      </c>
      <c r="K15" s="2">
        <v>87.529088999999999</v>
      </c>
      <c r="L15" s="2">
        <v>41.999963999999999</v>
      </c>
      <c r="M15" s="2">
        <v>0</v>
      </c>
      <c r="N15" s="2">
        <v>103.999458</v>
      </c>
      <c r="O15" s="2">
        <v>0</v>
      </c>
      <c r="P15" s="2">
        <v>34.058163</v>
      </c>
      <c r="Q15" s="2">
        <v>0</v>
      </c>
      <c r="R15" s="2">
        <v>37.953459000000002</v>
      </c>
      <c r="S15" s="2">
        <v>18.326720999999999</v>
      </c>
      <c r="T15" s="2">
        <v>21.762684</v>
      </c>
      <c r="U15" s="2">
        <v>0</v>
      </c>
      <c r="V15" s="2">
        <v>6.7283249999999999</v>
      </c>
      <c r="W15" s="2">
        <v>0</v>
      </c>
      <c r="X15" s="2">
        <v>4.5099177900000003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36.662000999999997</v>
      </c>
      <c r="AI15" s="2">
        <v>0</v>
      </c>
      <c r="AJ15" s="2">
        <v>0</v>
      </c>
      <c r="AK15" s="2">
        <v>35.094752999999997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</row>
    <row r="16" spans="1:57" ht="15" customHeight="1" x14ac:dyDescent="0.3">
      <c r="A16" s="4" t="s">
        <v>99</v>
      </c>
      <c r="B16" s="5">
        <f t="shared" si="0"/>
        <v>2010.304635</v>
      </c>
      <c r="C16" s="5"/>
      <c r="D16" s="2">
        <v>386.45216399999998</v>
      </c>
      <c r="E16" s="2">
        <v>608.87204399999996</v>
      </c>
      <c r="F16" s="2">
        <v>221.225424</v>
      </c>
      <c r="G16" s="2">
        <v>198.361482</v>
      </c>
      <c r="H16" s="2">
        <v>0</v>
      </c>
      <c r="I16" s="2">
        <v>71.232753000000002</v>
      </c>
      <c r="J16" s="2">
        <v>0</v>
      </c>
      <c r="K16" s="2">
        <v>45.915230999999999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156.00013799999999</v>
      </c>
      <c r="R16" s="2">
        <v>73.836590999999999</v>
      </c>
      <c r="S16" s="2">
        <v>30.221829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37.963920000000002</v>
      </c>
      <c r="Z16" s="2">
        <v>0</v>
      </c>
      <c r="AA16" s="2">
        <v>0</v>
      </c>
      <c r="AB16" s="2">
        <v>0</v>
      </c>
      <c r="AC16" s="2">
        <v>0</v>
      </c>
      <c r="AD16" s="2">
        <v>11.731536</v>
      </c>
      <c r="AE16" s="2">
        <v>24.255254999999998</v>
      </c>
      <c r="AF16" s="2">
        <v>16.640598000000001</v>
      </c>
      <c r="AG16" s="2">
        <v>0</v>
      </c>
      <c r="AH16" s="2">
        <v>0</v>
      </c>
      <c r="AI16" s="2">
        <v>65.154911999999996</v>
      </c>
      <c r="AJ16" s="2">
        <v>0</v>
      </c>
      <c r="AK16" s="2">
        <v>24.999887999999999</v>
      </c>
      <c r="AL16" s="2">
        <v>0</v>
      </c>
      <c r="AM16" s="2">
        <v>0</v>
      </c>
      <c r="AN16" s="2">
        <v>0</v>
      </c>
      <c r="AO16" s="2">
        <v>0</v>
      </c>
      <c r="AP16" s="2">
        <v>37.440869999999997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</row>
    <row r="17" spans="1:57" ht="15" customHeight="1" x14ac:dyDescent="0.3">
      <c r="A17" s="4" t="s">
        <v>100</v>
      </c>
      <c r="B17" s="5">
        <f t="shared" si="0"/>
        <v>2351.0840444700007</v>
      </c>
      <c r="C17" s="5"/>
      <c r="D17" s="2">
        <v>600.88935000000004</v>
      </c>
      <c r="E17" s="2">
        <v>765.03192147000004</v>
      </c>
      <c r="F17" s="2">
        <v>62.552025</v>
      </c>
      <c r="G17" s="2">
        <v>153.46287000000001</v>
      </c>
      <c r="H17" s="2">
        <v>0</v>
      </c>
      <c r="I17" s="2">
        <v>155.30590799999999</v>
      </c>
      <c r="J17" s="2">
        <v>47.079255000000003</v>
      </c>
      <c r="K17" s="2">
        <v>54.447603000000001</v>
      </c>
      <c r="L17" s="2">
        <v>0</v>
      </c>
      <c r="M17" s="2">
        <v>0</v>
      </c>
      <c r="N17" s="2">
        <v>0</v>
      </c>
      <c r="O17" s="2">
        <v>44.612361</v>
      </c>
      <c r="P17" s="2">
        <v>105.60664800000001</v>
      </c>
      <c r="Q17" s="2">
        <v>0</v>
      </c>
      <c r="R17" s="2">
        <v>0</v>
      </c>
      <c r="S17" s="2">
        <v>55.575488999999997</v>
      </c>
      <c r="T17" s="2">
        <v>80.390883000000002</v>
      </c>
      <c r="U17" s="2">
        <v>0</v>
      </c>
      <c r="V17" s="2">
        <v>36.625863000000003</v>
      </c>
      <c r="W17" s="2">
        <v>102.00426</v>
      </c>
      <c r="X17" s="2">
        <v>0</v>
      </c>
      <c r="Y17" s="2">
        <v>0</v>
      </c>
      <c r="Z17" s="2">
        <v>40.000011000000001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27.307964999999999</v>
      </c>
      <c r="AK17" s="2">
        <v>20.191631999999998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</row>
    <row r="18" spans="1:57" ht="15" customHeight="1" x14ac:dyDescent="0.3">
      <c r="A18" s="4" t="s">
        <v>101</v>
      </c>
      <c r="B18" s="5">
        <f t="shared" si="0"/>
        <v>2267.26008</v>
      </c>
      <c r="C18" s="5"/>
      <c r="D18" s="2">
        <v>602.47656900000004</v>
      </c>
      <c r="E18" s="2">
        <v>497.678271</v>
      </c>
      <c r="F18" s="2">
        <v>256.60452600000002</v>
      </c>
      <c r="G18" s="2">
        <v>0</v>
      </c>
      <c r="H18" s="2">
        <v>0</v>
      </c>
      <c r="I18" s="2">
        <v>107.457294</v>
      </c>
      <c r="J18" s="2">
        <v>44.666567999999998</v>
      </c>
      <c r="K18" s="2">
        <v>45.299934</v>
      </c>
      <c r="L18" s="2">
        <v>85.699365</v>
      </c>
      <c r="M18" s="2">
        <v>0</v>
      </c>
      <c r="N18" s="2">
        <v>0</v>
      </c>
      <c r="O18" s="2">
        <v>84.107391000000007</v>
      </c>
      <c r="P18" s="2">
        <v>33.699635999999998</v>
      </c>
      <c r="Q18" s="2">
        <v>0</v>
      </c>
      <c r="R18" s="2">
        <v>0</v>
      </c>
      <c r="S18" s="2">
        <v>16.796562000000002</v>
      </c>
      <c r="T18" s="2">
        <v>44.178705000000001</v>
      </c>
      <c r="U18" s="2">
        <v>0</v>
      </c>
      <c r="V18" s="2">
        <v>0</v>
      </c>
      <c r="W18" s="2">
        <v>176.46565799999999</v>
      </c>
      <c r="X18" s="2">
        <v>80.000022000000001</v>
      </c>
      <c r="Y18" s="2">
        <v>0</v>
      </c>
      <c r="Z18" s="2">
        <v>137.75044800000001</v>
      </c>
      <c r="AA18" s="2">
        <v>0</v>
      </c>
      <c r="AB18" s="2">
        <v>0</v>
      </c>
      <c r="AC18" s="2">
        <v>0</v>
      </c>
      <c r="AD18" s="2">
        <v>0</v>
      </c>
      <c r="AE18" s="2">
        <v>15.920691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38.458440000000003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</row>
    <row r="19" spans="1:57" ht="15" customHeight="1" x14ac:dyDescent="0.3">
      <c r="A19" s="4" t="s">
        <v>102</v>
      </c>
      <c r="B19" s="5">
        <f t="shared" si="0"/>
        <v>2185.8773040000001</v>
      </c>
      <c r="C19" s="5"/>
      <c r="D19" s="2">
        <v>317.57028300000002</v>
      </c>
      <c r="E19" s="2">
        <v>834.40740000000005</v>
      </c>
      <c r="F19" s="2">
        <v>198.15987000000001</v>
      </c>
      <c r="G19" s="2">
        <v>0</v>
      </c>
      <c r="H19" s="2">
        <v>0</v>
      </c>
      <c r="I19" s="2">
        <v>109.999317</v>
      </c>
      <c r="J19" s="2">
        <v>0</v>
      </c>
      <c r="K19" s="2">
        <v>60.479796</v>
      </c>
      <c r="L19" s="2">
        <v>84.930957000000006</v>
      </c>
      <c r="M19" s="2">
        <v>0</v>
      </c>
      <c r="N19" s="2">
        <v>0</v>
      </c>
      <c r="O19" s="2">
        <v>49.999775999999997</v>
      </c>
      <c r="P19" s="2">
        <v>160.117017</v>
      </c>
      <c r="Q19" s="2">
        <v>0</v>
      </c>
      <c r="R19" s="2">
        <v>0</v>
      </c>
      <c r="S19" s="2">
        <v>28.226631000000001</v>
      </c>
      <c r="T19" s="2">
        <v>0</v>
      </c>
      <c r="U19" s="2">
        <v>0</v>
      </c>
      <c r="V19" s="2">
        <v>0</v>
      </c>
      <c r="W19" s="2">
        <v>0</v>
      </c>
      <c r="X19" s="2">
        <v>38.727573</v>
      </c>
      <c r="Y19" s="2">
        <v>47.872388999999998</v>
      </c>
      <c r="Z19" s="2">
        <v>0</v>
      </c>
      <c r="AA19" s="2">
        <v>0</v>
      </c>
      <c r="AB19" s="2">
        <v>70.000257000000005</v>
      </c>
      <c r="AC19" s="2">
        <v>45.358896000000001</v>
      </c>
      <c r="AD19" s="2">
        <v>0</v>
      </c>
      <c r="AE19" s="2">
        <v>17.764679999999998</v>
      </c>
      <c r="AF19" s="2">
        <v>52.263156000000002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59.999541000000001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9.999765</v>
      </c>
      <c r="BC19" s="2">
        <v>0</v>
      </c>
      <c r="BD19" s="2">
        <v>0</v>
      </c>
      <c r="BE19" s="2">
        <v>0</v>
      </c>
    </row>
    <row r="20" spans="1:57" ht="15" customHeight="1" x14ac:dyDescent="0.3">
      <c r="A20" s="4" t="s">
        <v>103</v>
      </c>
      <c r="B20" s="5">
        <f t="shared" si="0"/>
        <v>2196.2793324899999</v>
      </c>
      <c r="C20" s="5"/>
      <c r="D20" s="2">
        <v>542.15939400000002</v>
      </c>
      <c r="E20" s="2">
        <v>864.35057648999998</v>
      </c>
      <c r="F20" s="2">
        <v>249.34459200000001</v>
      </c>
      <c r="G20" s="2">
        <v>0</v>
      </c>
      <c r="H20" s="2">
        <v>0</v>
      </c>
      <c r="I20" s="2">
        <v>193.27268100000001</v>
      </c>
      <c r="J20" s="2">
        <v>4.5001319999999998</v>
      </c>
      <c r="K20" s="2">
        <v>75.421908000000002</v>
      </c>
      <c r="L20" s="2">
        <v>40.000011000000001</v>
      </c>
      <c r="M20" s="2">
        <v>0</v>
      </c>
      <c r="N20" s="2">
        <v>0</v>
      </c>
      <c r="O20" s="2">
        <v>51.787655999999998</v>
      </c>
      <c r="P20" s="2">
        <v>40.000011000000001</v>
      </c>
      <c r="Q20" s="2">
        <v>0</v>
      </c>
      <c r="R20" s="2">
        <v>0</v>
      </c>
      <c r="S20" s="2">
        <v>7.5186060000000001</v>
      </c>
      <c r="T20" s="2">
        <v>0</v>
      </c>
      <c r="U20" s="2">
        <v>0</v>
      </c>
      <c r="V20" s="2">
        <v>41.999963999999999</v>
      </c>
      <c r="W20" s="2">
        <v>0</v>
      </c>
      <c r="X20" s="2">
        <v>0</v>
      </c>
      <c r="Y20" s="2">
        <v>49.820988</v>
      </c>
      <c r="Z20" s="2">
        <v>0</v>
      </c>
      <c r="AA20" s="2">
        <v>0</v>
      </c>
      <c r="AB20" s="2">
        <v>0</v>
      </c>
      <c r="AC20" s="2">
        <v>36.102812999999998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</row>
    <row r="21" spans="1:57" ht="15" customHeight="1" x14ac:dyDescent="0.3">
      <c r="A21" s="4" t="s">
        <v>104</v>
      </c>
      <c r="B21" s="5">
        <f t="shared" si="0"/>
        <v>2247.702765</v>
      </c>
      <c r="C21" s="5"/>
      <c r="D21" s="2">
        <v>512.09828400000004</v>
      </c>
      <c r="E21" s="2">
        <v>591.94899899999996</v>
      </c>
      <c r="F21" s="2">
        <v>225.90149099999999</v>
      </c>
      <c r="G21" s="2">
        <v>143.63713799999999</v>
      </c>
      <c r="H21" s="2">
        <v>0</v>
      </c>
      <c r="I21" s="2">
        <v>112.88940599999999</v>
      </c>
      <c r="J21" s="2">
        <v>10.203279</v>
      </c>
      <c r="K21" s="2">
        <v>27.615138000000002</v>
      </c>
      <c r="L21" s="2">
        <v>56.864094000000001</v>
      </c>
      <c r="M21" s="2">
        <v>0</v>
      </c>
      <c r="N21" s="2">
        <v>139.99956299999999</v>
      </c>
      <c r="O21" s="2">
        <v>40.000011000000001</v>
      </c>
      <c r="P21" s="2">
        <v>80.874942000000004</v>
      </c>
      <c r="Q21" s="2">
        <v>0</v>
      </c>
      <c r="R21" s="2">
        <v>0</v>
      </c>
      <c r="S21" s="2">
        <v>22.476884999999999</v>
      </c>
      <c r="T21" s="2">
        <v>0</v>
      </c>
      <c r="U21" s="2">
        <v>95.000145000000003</v>
      </c>
      <c r="V21" s="2">
        <v>68.467245000000005</v>
      </c>
      <c r="W21" s="2">
        <v>0</v>
      </c>
      <c r="X21" s="2">
        <v>0</v>
      </c>
      <c r="Y21" s="2">
        <v>21.603867000000001</v>
      </c>
      <c r="Z21" s="2">
        <v>22.767890999999999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75.354387000000003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</row>
    <row r="22" spans="1:57" ht="15" customHeight="1" x14ac:dyDescent="0.3">
      <c r="A22" s="4" t="s">
        <v>105</v>
      </c>
      <c r="B22" s="5">
        <f t="shared" si="0"/>
        <v>2250.7490082000004</v>
      </c>
      <c r="C22" s="5"/>
      <c r="D22" s="2">
        <v>468.60429900000003</v>
      </c>
      <c r="E22" s="2">
        <v>520.43950500000005</v>
      </c>
      <c r="F22" s="2">
        <v>227.081682</v>
      </c>
      <c r="G22" s="2">
        <v>150.00027900000001</v>
      </c>
      <c r="H22" s="2">
        <v>99.999551999999994</v>
      </c>
      <c r="I22" s="2">
        <v>90.638858999999997</v>
      </c>
      <c r="J22" s="2">
        <v>48.162444000000001</v>
      </c>
      <c r="K22" s="2">
        <v>99.655289999999994</v>
      </c>
      <c r="L22" s="2">
        <v>132.129087</v>
      </c>
      <c r="M22" s="2">
        <v>0</v>
      </c>
      <c r="N22" s="2">
        <v>74.999663999999996</v>
      </c>
      <c r="O22" s="2">
        <v>0</v>
      </c>
      <c r="P22" s="2">
        <v>44.999874480000003</v>
      </c>
      <c r="Q22" s="2">
        <v>0</v>
      </c>
      <c r="R22" s="2">
        <v>100.18214399999999</v>
      </c>
      <c r="S22" s="2">
        <v>38.187404999999998</v>
      </c>
      <c r="T22" s="2">
        <v>87.000066720000007</v>
      </c>
      <c r="U22" s="2">
        <v>0</v>
      </c>
      <c r="V22" s="2">
        <v>9.6944940000000006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15.999624000000001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42.974739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</row>
    <row r="23" spans="1:57" ht="15" customHeight="1" x14ac:dyDescent="0.3">
      <c r="A23" s="4" t="s">
        <v>106</v>
      </c>
      <c r="B23" s="5">
        <f t="shared" si="0"/>
        <v>2274.9539838300002</v>
      </c>
      <c r="C23" s="5"/>
      <c r="D23" s="2">
        <v>575.53569000000005</v>
      </c>
      <c r="E23" s="2">
        <v>479.667282</v>
      </c>
      <c r="F23" s="2">
        <v>314.16380099999998</v>
      </c>
      <c r="G23" s="2">
        <v>9.2361120000000003</v>
      </c>
      <c r="H23" s="2">
        <v>224.515884</v>
      </c>
      <c r="I23" s="2">
        <v>137.11898400000001</v>
      </c>
      <c r="J23" s="2">
        <v>40.569659999999999</v>
      </c>
      <c r="K23" s="2">
        <v>73.562702999999999</v>
      </c>
      <c r="L23" s="2">
        <v>93.607881000000006</v>
      </c>
      <c r="M23" s="2">
        <v>0</v>
      </c>
      <c r="N23" s="2">
        <v>0</v>
      </c>
      <c r="O23" s="2">
        <v>0</v>
      </c>
      <c r="P23" s="2">
        <v>73.081953479999996</v>
      </c>
      <c r="Q23" s="2">
        <v>0</v>
      </c>
      <c r="R23" s="2">
        <v>0</v>
      </c>
      <c r="S23" s="2">
        <v>20.546354999999998</v>
      </c>
      <c r="T23" s="2">
        <v>0</v>
      </c>
      <c r="U23" s="2">
        <v>26.100052349999999</v>
      </c>
      <c r="V23" s="2">
        <v>40.000011000000001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31.170926999999999</v>
      </c>
      <c r="AC23" s="2">
        <v>136.07668799999999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</row>
    <row r="24" spans="1:57" ht="15" customHeight="1" x14ac:dyDescent="0.3">
      <c r="A24" s="4" t="s">
        <v>107</v>
      </c>
      <c r="B24" s="5">
        <f t="shared" si="0"/>
        <v>1375.2934049999999</v>
      </c>
      <c r="C24" s="5"/>
      <c r="D24" s="2">
        <v>305.83684499999998</v>
      </c>
      <c r="E24" s="2">
        <v>219.106596</v>
      </c>
      <c r="F24" s="2">
        <v>185.76548700000001</v>
      </c>
      <c r="G24" s="2">
        <v>99.699986999999993</v>
      </c>
      <c r="H24" s="2">
        <v>99.999551999999994</v>
      </c>
      <c r="I24" s="2">
        <v>102.26673599999999</v>
      </c>
      <c r="J24" s="2">
        <v>0</v>
      </c>
      <c r="K24" s="2">
        <v>92.257461000000006</v>
      </c>
      <c r="L24" s="2">
        <v>41.999963999999999</v>
      </c>
      <c r="M24" s="2">
        <v>0</v>
      </c>
      <c r="N24" s="2">
        <v>0</v>
      </c>
      <c r="O24" s="2">
        <v>28.294152</v>
      </c>
      <c r="P24" s="2">
        <v>0</v>
      </c>
      <c r="Q24" s="2">
        <v>0</v>
      </c>
      <c r="R24" s="2">
        <v>0</v>
      </c>
      <c r="S24" s="2">
        <v>31.959306000000002</v>
      </c>
      <c r="T24" s="2">
        <v>19.02</v>
      </c>
      <c r="U24" s="2">
        <v>0</v>
      </c>
      <c r="V24" s="2">
        <v>55.445202000000002</v>
      </c>
      <c r="W24" s="2">
        <v>0</v>
      </c>
      <c r="X24" s="2">
        <v>0</v>
      </c>
      <c r="Y24" s="2">
        <v>68.471999999999994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25.170117000000001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</row>
    <row r="25" spans="1:57" ht="15" customHeight="1" x14ac:dyDescent="0.3">
      <c r="A25" s="4" t="s">
        <v>108</v>
      </c>
      <c r="B25" s="5">
        <f t="shared" si="0"/>
        <v>2646.2751101699987</v>
      </c>
      <c r="C25" s="5"/>
      <c r="D25" s="2">
        <v>377.99872499999998</v>
      </c>
      <c r="E25" s="2">
        <v>242.538285</v>
      </c>
      <c r="F25" s="2">
        <v>340.54644300000001</v>
      </c>
      <c r="G25" s="2">
        <v>30.299810999999998</v>
      </c>
      <c r="H25" s="2">
        <v>474.999774</v>
      </c>
      <c r="I25" s="2">
        <v>130.578957</v>
      </c>
      <c r="J25" s="2">
        <v>52.770989999999998</v>
      </c>
      <c r="K25" s="2">
        <v>215.01919799999999</v>
      </c>
      <c r="L25" s="2">
        <v>45.358896000000001</v>
      </c>
      <c r="M25" s="2">
        <v>139.99956299999999</v>
      </c>
      <c r="N25" s="2">
        <v>0</v>
      </c>
      <c r="O25" s="2">
        <v>0</v>
      </c>
      <c r="P25" s="2">
        <v>0</v>
      </c>
      <c r="Q25" s="2">
        <v>0</v>
      </c>
      <c r="R25" s="2">
        <v>90.151947000000007</v>
      </c>
      <c r="S25" s="2">
        <v>26.746874999999999</v>
      </c>
      <c r="T25" s="2">
        <v>99.999551999999994</v>
      </c>
      <c r="U25" s="2">
        <v>129.999798</v>
      </c>
      <c r="V25" s="2">
        <v>0</v>
      </c>
      <c r="W25" s="2">
        <v>85.259051999999997</v>
      </c>
      <c r="X25" s="2">
        <v>0</v>
      </c>
      <c r="Y25" s="2">
        <v>0</v>
      </c>
      <c r="Z25" s="2">
        <v>117.00723600000001</v>
      </c>
      <c r="AA25" s="2">
        <v>0</v>
      </c>
      <c r="AB25" s="2">
        <v>47.000008170000001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</row>
    <row r="26" spans="1:57" ht="15" customHeight="1" x14ac:dyDescent="0.3">
      <c r="A26" s="4" t="s">
        <v>109</v>
      </c>
      <c r="B26" s="5">
        <f t="shared" si="0"/>
        <v>1577.9184387300002</v>
      </c>
      <c r="C26" s="5"/>
      <c r="D26" s="2">
        <v>348.03746999999998</v>
      </c>
      <c r="E26" s="2">
        <v>349.068354</v>
      </c>
      <c r="F26" s="2">
        <v>190.00789800000001</v>
      </c>
      <c r="G26" s="2">
        <v>0</v>
      </c>
      <c r="H26" s="2">
        <v>99.999551999999994</v>
      </c>
      <c r="I26" s="2">
        <v>36.287306999999998</v>
      </c>
      <c r="J26" s="2">
        <v>35.365055730000002</v>
      </c>
      <c r="K26" s="2">
        <v>20.905833000000001</v>
      </c>
      <c r="L26" s="2">
        <v>40.776978</v>
      </c>
      <c r="M26" s="2">
        <v>0</v>
      </c>
      <c r="N26" s="2">
        <v>40.312890000000003</v>
      </c>
      <c r="O26" s="2">
        <v>0</v>
      </c>
      <c r="P26" s="2">
        <v>34.999653000000002</v>
      </c>
      <c r="Q26" s="2">
        <v>0</v>
      </c>
      <c r="R26" s="2">
        <v>0</v>
      </c>
      <c r="S26" s="2">
        <v>22.866795</v>
      </c>
      <c r="T26" s="2">
        <v>26.314170000000001</v>
      </c>
      <c r="U26" s="2">
        <v>143.95857599999999</v>
      </c>
      <c r="V26" s="2">
        <v>19.99953</v>
      </c>
      <c r="W26" s="2">
        <v>0</v>
      </c>
      <c r="X26" s="2">
        <v>0</v>
      </c>
      <c r="Y26" s="2">
        <v>30.238947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59.999541000000001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78.779888999999997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</row>
    <row r="27" spans="1:57" ht="15" customHeight="1" x14ac:dyDescent="0.3">
      <c r="A27" s="4" t="s">
        <v>110</v>
      </c>
      <c r="B27" s="5">
        <f t="shared" si="0"/>
        <v>1360.539591</v>
      </c>
      <c r="C27" s="5"/>
      <c r="D27" s="2">
        <v>456.61694399999999</v>
      </c>
      <c r="E27" s="2">
        <v>396.74768999999998</v>
      </c>
      <c r="F27" s="2">
        <v>232.45483200000001</v>
      </c>
      <c r="G27" s="2">
        <v>0</v>
      </c>
      <c r="H27" s="2">
        <v>0</v>
      </c>
      <c r="I27" s="2">
        <v>55.000134000000003</v>
      </c>
      <c r="J27" s="2">
        <v>11.983551</v>
      </c>
      <c r="K27" s="2">
        <v>0</v>
      </c>
      <c r="L27" s="2">
        <v>0</v>
      </c>
      <c r="M27" s="2">
        <v>40.956716999999998</v>
      </c>
      <c r="N27" s="2">
        <v>0</v>
      </c>
      <c r="O27" s="2">
        <v>6.1995690000000003</v>
      </c>
      <c r="P27" s="2">
        <v>0</v>
      </c>
      <c r="Q27" s="2">
        <v>0</v>
      </c>
      <c r="R27" s="2">
        <v>9.4139490000000006</v>
      </c>
      <c r="S27" s="2">
        <v>8.4562919999999995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39.446528999999998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70.000257000000005</v>
      </c>
      <c r="AG27" s="2">
        <v>0</v>
      </c>
      <c r="AH27" s="2">
        <v>0</v>
      </c>
      <c r="AI27" s="2">
        <v>0</v>
      </c>
      <c r="AJ27" s="2">
        <v>0</v>
      </c>
      <c r="AK27" s="2">
        <v>33.263126999999997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</row>
    <row r="28" spans="1:57" ht="15" customHeight="1" x14ac:dyDescent="0.3">
      <c r="A28" s="4" t="s">
        <v>111</v>
      </c>
      <c r="B28" s="5">
        <f t="shared" si="0"/>
        <v>2685.60540795</v>
      </c>
      <c r="C28" s="5"/>
      <c r="D28" s="2">
        <v>456.84423299999997</v>
      </c>
      <c r="E28" s="2">
        <v>435.60459900000001</v>
      </c>
      <c r="F28" s="2">
        <v>298.36388699999998</v>
      </c>
      <c r="G28" s="2">
        <v>219.45276000000001</v>
      </c>
      <c r="H28" s="2">
        <v>536.07679800000005</v>
      </c>
      <c r="I28" s="2">
        <v>68.676464999999993</v>
      </c>
      <c r="J28" s="2">
        <v>10.112933999999999</v>
      </c>
      <c r="K28" s="2">
        <v>34.999653000000002</v>
      </c>
      <c r="L28" s="2">
        <v>19.99953</v>
      </c>
      <c r="M28" s="2">
        <v>94.043439000000006</v>
      </c>
      <c r="N28" s="2">
        <v>136.077639</v>
      </c>
      <c r="O28" s="2">
        <v>0</v>
      </c>
      <c r="P28" s="2">
        <v>14.45467695</v>
      </c>
      <c r="Q28" s="2">
        <v>0</v>
      </c>
      <c r="R28" s="2">
        <v>0</v>
      </c>
      <c r="S28" s="2">
        <v>21.777899999999999</v>
      </c>
      <c r="T28" s="2">
        <v>0</v>
      </c>
      <c r="U28" s="2">
        <v>129.999798</v>
      </c>
      <c r="V28" s="2">
        <v>40.000011000000001</v>
      </c>
      <c r="W28" s="2">
        <v>30.000246000000001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47.372163</v>
      </c>
      <c r="AD28" s="2">
        <v>0</v>
      </c>
      <c r="AE28" s="2">
        <v>0</v>
      </c>
      <c r="AF28" s="2">
        <v>13.499445</v>
      </c>
      <c r="AG28" s="2">
        <v>0</v>
      </c>
      <c r="AH28" s="2">
        <v>0</v>
      </c>
      <c r="AI28" s="2">
        <v>0</v>
      </c>
      <c r="AJ28" s="2">
        <v>25.098792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53.150438999999999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</row>
    <row r="29" spans="1:57" ht="15" customHeight="1" x14ac:dyDescent="0.3">
      <c r="A29" s="4" t="s">
        <v>112</v>
      </c>
      <c r="B29" s="5">
        <f t="shared" si="0"/>
        <v>2588.5270711799994</v>
      </c>
      <c r="C29" s="5"/>
      <c r="D29" s="2">
        <v>646.48979999999995</v>
      </c>
      <c r="E29" s="2">
        <v>666.23178017999999</v>
      </c>
      <c r="F29" s="2">
        <v>350.76779099999999</v>
      </c>
      <c r="G29" s="2">
        <v>99.890186999999997</v>
      </c>
      <c r="H29" s="2">
        <v>388.51678500000003</v>
      </c>
      <c r="I29" s="2">
        <v>130.224234</v>
      </c>
      <c r="J29" s="2">
        <v>68.355027000000007</v>
      </c>
      <c r="K29" s="2">
        <v>0</v>
      </c>
      <c r="L29" s="2">
        <v>0</v>
      </c>
      <c r="M29" s="2">
        <v>34.961613</v>
      </c>
      <c r="N29" s="2">
        <v>75.598793999999998</v>
      </c>
      <c r="O29" s="2">
        <v>0</v>
      </c>
      <c r="P29" s="2">
        <v>40.000011000000001</v>
      </c>
      <c r="Q29" s="2">
        <v>0</v>
      </c>
      <c r="R29" s="2">
        <v>0</v>
      </c>
      <c r="S29" s="2">
        <v>14.513211</v>
      </c>
      <c r="T29" s="2">
        <v>0</v>
      </c>
      <c r="U29" s="2">
        <v>13.809471</v>
      </c>
      <c r="V29" s="2">
        <v>24.999887999999999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24.900984000000001</v>
      </c>
      <c r="AK29" s="2">
        <v>9.2674950000000003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</row>
    <row r="30" spans="1:57" ht="15" customHeight="1" x14ac:dyDescent="0.3">
      <c r="A30" s="4" t="s">
        <v>113</v>
      </c>
      <c r="B30" s="5">
        <f t="shared" si="0"/>
        <v>1703.9133569999999</v>
      </c>
      <c r="C30" s="5"/>
      <c r="D30" s="2">
        <v>539.41670999999997</v>
      </c>
      <c r="E30" s="2">
        <v>350.68124999999998</v>
      </c>
      <c r="F30" s="2">
        <v>219.917799</v>
      </c>
      <c r="G30" s="2">
        <v>211.67548199999999</v>
      </c>
      <c r="H30" s="2">
        <v>95.000145000000003</v>
      </c>
      <c r="I30" s="2">
        <v>0</v>
      </c>
      <c r="J30" s="2">
        <v>61.698977999999997</v>
      </c>
      <c r="K30" s="2">
        <v>69.999306000000004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28.125824999999999</v>
      </c>
      <c r="T30" s="2">
        <v>0</v>
      </c>
      <c r="U30" s="2">
        <v>0</v>
      </c>
      <c r="V30" s="2">
        <v>0</v>
      </c>
      <c r="W30" s="2">
        <v>33.263126999999997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45.510105000000003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48.624630000000003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</row>
    <row r="31" spans="1:57" ht="15" customHeight="1" x14ac:dyDescent="0.3">
      <c r="A31" s="4" t="s">
        <v>114</v>
      </c>
      <c r="B31" s="5">
        <f t="shared" si="0"/>
        <v>1929.700728</v>
      </c>
      <c r="C31" s="5"/>
      <c r="D31" s="2">
        <v>398.19035700000001</v>
      </c>
      <c r="E31" s="2">
        <v>525.19925999999998</v>
      </c>
      <c r="F31" s="2">
        <v>374.41060199999998</v>
      </c>
      <c r="G31" s="2">
        <v>97.631562000000002</v>
      </c>
      <c r="H31" s="2">
        <v>135.000156</v>
      </c>
      <c r="I31" s="2">
        <v>53.078163000000004</v>
      </c>
      <c r="J31" s="2">
        <v>63.581958</v>
      </c>
      <c r="K31" s="2">
        <v>0</v>
      </c>
      <c r="L31" s="2">
        <v>51.000228</v>
      </c>
      <c r="M31" s="2">
        <v>0</v>
      </c>
      <c r="N31" s="2">
        <v>0</v>
      </c>
      <c r="O31" s="2">
        <v>0</v>
      </c>
      <c r="P31" s="2">
        <v>17.991018</v>
      </c>
      <c r="Q31" s="2">
        <v>0</v>
      </c>
      <c r="R31" s="2">
        <v>0</v>
      </c>
      <c r="S31" s="2">
        <v>14.459955000000001</v>
      </c>
      <c r="T31" s="2">
        <v>0</v>
      </c>
      <c r="U31" s="2">
        <v>0</v>
      </c>
      <c r="V31" s="2">
        <v>0</v>
      </c>
      <c r="W31" s="2">
        <v>88.823400000000007</v>
      </c>
      <c r="X31" s="2">
        <v>0</v>
      </c>
      <c r="Y31" s="2">
        <v>0</v>
      </c>
      <c r="Z31" s="2">
        <v>0</v>
      </c>
      <c r="AA31" s="2">
        <v>0</v>
      </c>
      <c r="AB31" s="2">
        <v>38.000058000000003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72.334011000000004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</row>
    <row r="32" spans="1:57" ht="15" customHeight="1" x14ac:dyDescent="0.3">
      <c r="A32" s="4" t="s">
        <v>115</v>
      </c>
      <c r="B32" s="5">
        <f t="shared" si="0"/>
        <v>1967.0170170000001</v>
      </c>
      <c r="C32" s="5"/>
      <c r="D32" s="2">
        <v>404.05327199999999</v>
      </c>
      <c r="E32" s="2">
        <v>388.717446</v>
      </c>
      <c r="F32" s="2">
        <v>340.01007900000002</v>
      </c>
      <c r="G32" s="2">
        <v>102.302874</v>
      </c>
      <c r="H32" s="2">
        <v>259.999596</v>
      </c>
      <c r="I32" s="2">
        <v>40.000011000000001</v>
      </c>
      <c r="J32" s="2">
        <v>15.918789</v>
      </c>
      <c r="K32" s="2">
        <v>35.891691000000002</v>
      </c>
      <c r="L32" s="2">
        <v>0</v>
      </c>
      <c r="M32" s="2">
        <v>76.228356000000005</v>
      </c>
      <c r="N32" s="2">
        <v>0</v>
      </c>
      <c r="O32" s="2">
        <v>10.741545</v>
      </c>
      <c r="P32" s="2">
        <v>0</v>
      </c>
      <c r="Q32" s="2">
        <v>57.999588000000003</v>
      </c>
      <c r="R32" s="2">
        <v>0</v>
      </c>
      <c r="S32" s="2">
        <v>6.1320480000000002</v>
      </c>
      <c r="T32" s="2">
        <v>0</v>
      </c>
      <c r="U32" s="2">
        <v>162.22157999999999</v>
      </c>
      <c r="V32" s="2">
        <v>0</v>
      </c>
      <c r="W32" s="2">
        <v>0</v>
      </c>
      <c r="X32" s="2">
        <v>0</v>
      </c>
      <c r="Y32" s="2">
        <v>0</v>
      </c>
      <c r="Z32" s="2">
        <v>56.800376999999997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9.999765</v>
      </c>
      <c r="BD32" s="2">
        <v>0</v>
      </c>
      <c r="BE32" s="2">
        <v>0</v>
      </c>
    </row>
    <row r="33" spans="1:57" ht="15" customHeight="1" x14ac:dyDescent="0.3">
      <c r="A33" s="4" t="s">
        <v>116</v>
      </c>
      <c r="B33" s="5">
        <f t="shared" si="0"/>
        <v>2046.3009360000003</v>
      </c>
      <c r="C33" s="5"/>
      <c r="D33" s="2">
        <v>420.63776100000001</v>
      </c>
      <c r="E33" s="2">
        <v>465.68853300000001</v>
      </c>
      <c r="F33" s="2">
        <v>331.34551800000003</v>
      </c>
      <c r="G33" s="2">
        <v>139.99956299999999</v>
      </c>
      <c r="H33" s="2">
        <v>0</v>
      </c>
      <c r="I33" s="2">
        <v>125.010852</v>
      </c>
      <c r="J33" s="2">
        <v>48.398291999999998</v>
      </c>
      <c r="K33" s="2">
        <v>0</v>
      </c>
      <c r="L33" s="2">
        <v>34.999653000000002</v>
      </c>
      <c r="M33" s="2">
        <v>99.999551999999994</v>
      </c>
      <c r="N33" s="2">
        <v>31.883226000000001</v>
      </c>
      <c r="O33" s="2">
        <v>75.242169000000004</v>
      </c>
      <c r="P33" s="2">
        <v>39.029040000000002</v>
      </c>
      <c r="Q33" s="2">
        <v>0</v>
      </c>
      <c r="R33" s="2">
        <v>0</v>
      </c>
      <c r="S33" s="2">
        <v>0</v>
      </c>
      <c r="T33" s="2">
        <v>75.598793999999998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80.000022000000001</v>
      </c>
      <c r="AA33" s="2">
        <v>0</v>
      </c>
      <c r="AB33" s="2">
        <v>23.686557000000001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54.781404000000002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</row>
    <row r="34" spans="1:57" ht="15" customHeight="1" x14ac:dyDescent="0.3">
      <c r="A34" s="4" t="s">
        <v>117</v>
      </c>
      <c r="B34" s="5">
        <f t="shared" ref="B34:B64" si="1">SUM(C34:XFD34)</f>
        <v>1835.4566279999999</v>
      </c>
      <c r="C34" s="5"/>
      <c r="D34" s="2">
        <v>571.35224100000005</v>
      </c>
      <c r="E34" s="2">
        <v>226.446414</v>
      </c>
      <c r="F34" s="2">
        <v>399.12804299999999</v>
      </c>
      <c r="G34" s="2">
        <v>0</v>
      </c>
      <c r="H34" s="2">
        <v>0</v>
      </c>
      <c r="I34" s="2">
        <v>0</v>
      </c>
      <c r="J34" s="2">
        <v>6.7283249999999999</v>
      </c>
      <c r="K34" s="2">
        <v>15.000123</v>
      </c>
      <c r="L34" s="2">
        <v>62.000444999999999</v>
      </c>
      <c r="M34" s="2">
        <v>0</v>
      </c>
      <c r="N34" s="2">
        <v>81.686144999999996</v>
      </c>
      <c r="O34" s="2">
        <v>133.95976200000001</v>
      </c>
      <c r="P34" s="2">
        <v>40.000011000000001</v>
      </c>
      <c r="Q34" s="2">
        <v>0</v>
      </c>
      <c r="R34" s="2">
        <v>0</v>
      </c>
      <c r="S34" s="2">
        <v>4.4668469999999996</v>
      </c>
      <c r="T34" s="2">
        <v>0</v>
      </c>
      <c r="U34" s="2">
        <v>0</v>
      </c>
      <c r="V34" s="2">
        <v>89.999786999999998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16.849817999999999</v>
      </c>
      <c r="AC34" s="2">
        <v>0</v>
      </c>
      <c r="AD34" s="2">
        <v>0</v>
      </c>
      <c r="AE34" s="2">
        <v>25.83867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129.999798</v>
      </c>
      <c r="AN34" s="2">
        <v>32.000199000000002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</row>
    <row r="35" spans="1:57" ht="15" customHeight="1" x14ac:dyDescent="0.3">
      <c r="A35" s="4" t="s">
        <v>118</v>
      </c>
      <c r="B35" s="5">
        <f t="shared" si="1"/>
        <v>2491.7550420000002</v>
      </c>
      <c r="C35" s="5"/>
      <c r="D35" s="2">
        <v>475.35830099999998</v>
      </c>
      <c r="E35" s="2">
        <v>419.10474900000003</v>
      </c>
      <c r="F35" s="2">
        <v>488.44406099999998</v>
      </c>
      <c r="G35" s="2">
        <v>245.527278</v>
      </c>
      <c r="H35" s="2">
        <v>0</v>
      </c>
      <c r="I35" s="2">
        <v>66.569999999999993</v>
      </c>
      <c r="J35" s="2">
        <v>38.701895999999998</v>
      </c>
      <c r="K35" s="2">
        <v>19.99953</v>
      </c>
      <c r="L35" s="2">
        <v>56.225973000000003</v>
      </c>
      <c r="M35" s="2">
        <v>0</v>
      </c>
      <c r="N35" s="2">
        <v>25.336542000000001</v>
      </c>
      <c r="O35" s="2">
        <v>0</v>
      </c>
      <c r="P35" s="2">
        <v>0</v>
      </c>
      <c r="Q35" s="2">
        <v>62.900091000000003</v>
      </c>
      <c r="R35" s="2">
        <v>108.42065700000001</v>
      </c>
      <c r="S35" s="2">
        <v>7.1857559999999996</v>
      </c>
      <c r="T35" s="2">
        <v>117.664377</v>
      </c>
      <c r="U35" s="2">
        <v>0</v>
      </c>
      <c r="V35" s="2">
        <v>0</v>
      </c>
      <c r="W35" s="2">
        <v>149.42872800000001</v>
      </c>
      <c r="X35" s="2">
        <v>30.000246000000001</v>
      </c>
      <c r="Y35" s="2">
        <v>0</v>
      </c>
      <c r="Z35" s="2">
        <v>0</v>
      </c>
      <c r="AA35" s="2">
        <v>0</v>
      </c>
      <c r="AB35" s="2">
        <v>0</v>
      </c>
      <c r="AC35" s="2">
        <v>27.113961</v>
      </c>
      <c r="AD35" s="2">
        <v>30.000246000000001</v>
      </c>
      <c r="AE35" s="2">
        <v>0</v>
      </c>
      <c r="AF35" s="2">
        <v>0</v>
      </c>
      <c r="AG35" s="2">
        <v>29.194749000000002</v>
      </c>
      <c r="AH35" s="2">
        <v>0</v>
      </c>
      <c r="AI35" s="2">
        <v>0</v>
      </c>
      <c r="AJ35" s="2">
        <v>30.000246000000001</v>
      </c>
      <c r="AK35" s="2">
        <v>0</v>
      </c>
      <c r="AL35" s="2">
        <v>0</v>
      </c>
      <c r="AM35" s="2">
        <v>0</v>
      </c>
      <c r="AN35" s="2">
        <v>0</v>
      </c>
      <c r="AO35" s="2">
        <v>64.577654999999993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</row>
    <row r="36" spans="1:57" ht="15" customHeight="1" x14ac:dyDescent="0.3">
      <c r="A36" s="4" t="s">
        <v>119</v>
      </c>
      <c r="B36" s="5">
        <f t="shared" si="1"/>
        <v>1925.2823820000003</v>
      </c>
      <c r="C36" s="5"/>
      <c r="D36" s="2">
        <v>533.68788600000005</v>
      </c>
      <c r="E36" s="2">
        <v>471.19197000000003</v>
      </c>
      <c r="F36" s="2">
        <v>472.25709000000001</v>
      </c>
      <c r="G36" s="2">
        <v>28.762995</v>
      </c>
      <c r="H36" s="2">
        <v>0</v>
      </c>
      <c r="I36" s="2">
        <v>40.000011000000001</v>
      </c>
      <c r="J36" s="2">
        <v>166.813008</v>
      </c>
      <c r="K36" s="2">
        <v>49.843812</v>
      </c>
      <c r="L36" s="2">
        <v>75.776630999999995</v>
      </c>
      <c r="M36" s="2">
        <v>0</v>
      </c>
      <c r="N36" s="2">
        <v>13.874139</v>
      </c>
      <c r="O36" s="2">
        <v>62.923865999999997</v>
      </c>
      <c r="P36" s="2">
        <v>0</v>
      </c>
      <c r="Q36" s="2">
        <v>0</v>
      </c>
      <c r="R36" s="2">
        <v>0</v>
      </c>
      <c r="S36" s="2">
        <v>10.150974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</row>
    <row r="37" spans="1:57" ht="15" customHeight="1" x14ac:dyDescent="0.3">
      <c r="A37" s="4" t="s">
        <v>120</v>
      </c>
      <c r="B37" s="5">
        <f t="shared" si="1"/>
        <v>1984.7579220000002</v>
      </c>
      <c r="C37" s="5"/>
      <c r="D37" s="2">
        <v>437.55224700000002</v>
      </c>
      <c r="E37" s="2">
        <v>364.09320300000002</v>
      </c>
      <c r="F37" s="2">
        <v>272.35403700000001</v>
      </c>
      <c r="G37" s="2">
        <v>129.999798</v>
      </c>
      <c r="H37" s="2">
        <v>259.999596</v>
      </c>
      <c r="I37" s="2">
        <v>104.246718</v>
      </c>
      <c r="J37" s="2">
        <v>28.511931000000001</v>
      </c>
      <c r="K37" s="2">
        <v>154.19228699999999</v>
      </c>
      <c r="L37" s="2">
        <v>122.649519</v>
      </c>
      <c r="M37" s="2">
        <v>0</v>
      </c>
      <c r="N37" s="2">
        <v>71.249870999999999</v>
      </c>
      <c r="O37" s="2">
        <v>6.1501169999999998</v>
      </c>
      <c r="P37" s="2">
        <v>0</v>
      </c>
      <c r="Q37" s="2">
        <v>0</v>
      </c>
      <c r="R37" s="2">
        <v>0</v>
      </c>
      <c r="S37" s="2">
        <v>3.7583519999999999</v>
      </c>
      <c r="T37" s="2">
        <v>0</v>
      </c>
      <c r="U37" s="2">
        <v>0</v>
      </c>
      <c r="V37" s="2">
        <v>30.000246000000001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</row>
    <row r="38" spans="1:57" ht="15" customHeight="1" x14ac:dyDescent="0.3">
      <c r="A38" s="4" t="s">
        <v>121</v>
      </c>
      <c r="B38" s="5">
        <f t="shared" si="1"/>
        <v>1746.8343644999998</v>
      </c>
      <c r="C38" s="5"/>
      <c r="D38" s="2">
        <v>487.02516900000001</v>
      </c>
      <c r="E38" s="2">
        <v>343.122702</v>
      </c>
      <c r="F38" s="2">
        <v>259.002948</v>
      </c>
      <c r="G38" s="2">
        <v>77.1931455</v>
      </c>
      <c r="H38" s="2">
        <v>150.40445399999999</v>
      </c>
      <c r="I38" s="2">
        <v>24.999887999999999</v>
      </c>
      <c r="J38" s="2">
        <v>17.915889</v>
      </c>
      <c r="K38" s="2">
        <v>96.065264999999997</v>
      </c>
      <c r="L38" s="2">
        <v>0</v>
      </c>
      <c r="M38" s="2">
        <v>0</v>
      </c>
      <c r="N38" s="2">
        <v>124.00089</v>
      </c>
      <c r="O38" s="2">
        <v>7.6698149999999998</v>
      </c>
      <c r="P38" s="2">
        <v>19.99953</v>
      </c>
      <c r="Q38" s="2">
        <v>0</v>
      </c>
      <c r="R38" s="2">
        <v>0</v>
      </c>
      <c r="S38" s="2">
        <v>9.4348709999999993</v>
      </c>
      <c r="T38" s="2">
        <v>0</v>
      </c>
      <c r="U38" s="2">
        <v>49.999775999999997</v>
      </c>
      <c r="V38" s="2">
        <v>0</v>
      </c>
      <c r="W38" s="2">
        <v>0</v>
      </c>
      <c r="X38" s="2">
        <v>0</v>
      </c>
      <c r="Y38" s="2">
        <v>0</v>
      </c>
      <c r="Z38" s="2">
        <v>59.999541000000001</v>
      </c>
      <c r="AA38" s="2">
        <v>0</v>
      </c>
      <c r="AB38" s="2">
        <v>20.000481000000001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</row>
    <row r="39" spans="1:57" ht="15" customHeight="1" x14ac:dyDescent="0.3">
      <c r="A39" s="4" t="s">
        <v>122</v>
      </c>
      <c r="B39" s="5">
        <f t="shared" si="1"/>
        <v>2061.8602469999996</v>
      </c>
      <c r="C39" s="5"/>
      <c r="D39" s="2">
        <v>426.59387400000003</v>
      </c>
      <c r="E39" s="2">
        <v>204.32520299999999</v>
      </c>
      <c r="F39" s="2">
        <v>231.70164</v>
      </c>
      <c r="G39" s="2">
        <v>47.192424000000003</v>
      </c>
      <c r="H39" s="2">
        <v>129.999798</v>
      </c>
      <c r="I39" s="2">
        <v>48.216650999999999</v>
      </c>
      <c r="J39" s="2">
        <v>80.000022000000001</v>
      </c>
      <c r="K39" s="2">
        <v>57.017204999999997</v>
      </c>
      <c r="L39" s="2">
        <v>61.266272999999998</v>
      </c>
      <c r="M39" s="2">
        <v>76.598294999999993</v>
      </c>
      <c r="N39" s="2">
        <v>386.49971399999998</v>
      </c>
      <c r="O39" s="2">
        <v>1.8297239999999999</v>
      </c>
      <c r="P39" s="2">
        <v>0</v>
      </c>
      <c r="Q39" s="2">
        <v>155.501814</v>
      </c>
      <c r="R39" s="2">
        <v>0</v>
      </c>
      <c r="S39" s="2">
        <v>10.117689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64.999898999999999</v>
      </c>
      <c r="AE39" s="2">
        <v>0</v>
      </c>
      <c r="AF39" s="2">
        <v>15.000123</v>
      </c>
      <c r="AG39" s="2">
        <v>0</v>
      </c>
      <c r="AH39" s="2">
        <v>0</v>
      </c>
      <c r="AI39" s="2">
        <v>0</v>
      </c>
      <c r="AJ39" s="2">
        <v>49.999775999999997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15.000123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</row>
    <row r="40" spans="1:57" ht="15" customHeight="1" x14ac:dyDescent="0.3">
      <c r="A40" s="4" t="s">
        <v>123</v>
      </c>
      <c r="B40" s="5">
        <f t="shared" si="1"/>
        <v>1404.76445754</v>
      </c>
      <c r="C40" s="5"/>
      <c r="D40" s="2">
        <v>525.57300299999997</v>
      </c>
      <c r="E40" s="2">
        <v>263.69898599999999</v>
      </c>
      <c r="F40" s="2">
        <v>98.890686000000002</v>
      </c>
      <c r="G40" s="2">
        <v>150.00027900000001</v>
      </c>
      <c r="H40" s="2">
        <v>129.999798</v>
      </c>
      <c r="I40" s="2">
        <v>96.423792000000006</v>
      </c>
      <c r="J40" s="2">
        <v>17.19408</v>
      </c>
      <c r="K40" s="2">
        <v>0</v>
      </c>
      <c r="L40" s="2">
        <v>0</v>
      </c>
      <c r="M40" s="2">
        <v>0</v>
      </c>
      <c r="N40" s="2">
        <v>13.499445</v>
      </c>
      <c r="O40" s="2">
        <v>25.750226999999999</v>
      </c>
      <c r="P40" s="2">
        <v>17.943467999999999</v>
      </c>
      <c r="Q40" s="2">
        <v>0</v>
      </c>
      <c r="R40" s="2">
        <v>4.5358325400000004</v>
      </c>
      <c r="S40" s="2">
        <v>4.7549999999999999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56.499861000000003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</row>
    <row r="41" spans="1:57" ht="15" customHeight="1" x14ac:dyDescent="0.3">
      <c r="A41" s="4" t="s">
        <v>124</v>
      </c>
      <c r="B41" s="5">
        <f t="shared" si="1"/>
        <v>1721.177811</v>
      </c>
      <c r="C41" s="5"/>
      <c r="D41" s="2">
        <v>547.431738</v>
      </c>
      <c r="E41" s="2">
        <v>264.25341900000001</v>
      </c>
      <c r="F41" s="2">
        <v>266.44262099999997</v>
      </c>
      <c r="G41" s="2">
        <v>64.948544999999996</v>
      </c>
      <c r="H41" s="2">
        <v>0</v>
      </c>
      <c r="I41" s="2">
        <v>50.937461999999996</v>
      </c>
      <c r="J41" s="2">
        <v>80.000022000000001</v>
      </c>
      <c r="K41" s="2">
        <v>70.000257000000005</v>
      </c>
      <c r="L41" s="2">
        <v>0</v>
      </c>
      <c r="M41" s="2">
        <v>94.386750000000006</v>
      </c>
      <c r="N41" s="2">
        <v>0</v>
      </c>
      <c r="O41" s="2">
        <v>0</v>
      </c>
      <c r="P41" s="2">
        <v>0</v>
      </c>
      <c r="Q41" s="2">
        <v>32.614545</v>
      </c>
      <c r="R41" s="2">
        <v>0</v>
      </c>
      <c r="S41" s="2">
        <v>10.950765000000001</v>
      </c>
      <c r="T41" s="2">
        <v>43.999917000000003</v>
      </c>
      <c r="U41" s="2">
        <v>0</v>
      </c>
      <c r="V41" s="2">
        <v>0</v>
      </c>
      <c r="W41" s="2">
        <v>0</v>
      </c>
      <c r="X41" s="2">
        <v>0</v>
      </c>
      <c r="Y41" s="2">
        <v>80.000022000000001</v>
      </c>
      <c r="Z41" s="2">
        <v>0</v>
      </c>
      <c r="AA41" s="2">
        <v>0</v>
      </c>
      <c r="AB41" s="2">
        <v>0</v>
      </c>
      <c r="AC41" s="2">
        <v>49.232318999999997</v>
      </c>
      <c r="AD41" s="2">
        <v>40.934843999999998</v>
      </c>
      <c r="AE41" s="2">
        <v>0</v>
      </c>
      <c r="AF41" s="2">
        <v>0</v>
      </c>
      <c r="AG41" s="2">
        <v>25.044585000000001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</row>
    <row r="42" spans="1:57" ht="15" customHeight="1" x14ac:dyDescent="0.3">
      <c r="A42" s="4" t="s">
        <v>125</v>
      </c>
      <c r="B42" s="5">
        <f t="shared" si="1"/>
        <v>1344.1316076000003</v>
      </c>
      <c r="C42" s="5"/>
      <c r="D42" s="2">
        <v>330.35457600000001</v>
      </c>
      <c r="E42" s="2">
        <v>267.68082299999998</v>
      </c>
      <c r="F42" s="2">
        <v>303.22692060000003</v>
      </c>
      <c r="G42" s="2">
        <v>0</v>
      </c>
      <c r="H42" s="2">
        <v>129.999798</v>
      </c>
      <c r="I42" s="2">
        <v>30.000246000000001</v>
      </c>
      <c r="J42" s="2">
        <v>64.999898999999999</v>
      </c>
      <c r="K42" s="2">
        <v>9.999765</v>
      </c>
      <c r="L42" s="2">
        <v>107.18911199999999</v>
      </c>
      <c r="M42" s="2">
        <v>0</v>
      </c>
      <c r="N42" s="2">
        <v>22.685154000000001</v>
      </c>
      <c r="O42" s="2">
        <v>9.999765</v>
      </c>
      <c r="P42" s="2">
        <v>0</v>
      </c>
      <c r="Q42" s="2">
        <v>0</v>
      </c>
      <c r="R42" s="2">
        <v>0</v>
      </c>
      <c r="S42" s="2">
        <v>27.060704999999999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40.934843999999998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</row>
    <row r="43" spans="1:57" ht="15" customHeight="1" x14ac:dyDescent="0.3">
      <c r="A43" s="4" t="s">
        <v>126</v>
      </c>
      <c r="B43" s="5">
        <f t="shared" si="1"/>
        <v>1565.9232855299997</v>
      </c>
      <c r="C43" s="5"/>
      <c r="D43" s="2">
        <v>426.79548599999998</v>
      </c>
      <c r="E43" s="2">
        <v>156.126621</v>
      </c>
      <c r="F43" s="2">
        <v>340.47416700000002</v>
      </c>
      <c r="G43" s="2">
        <v>114.97399799999999</v>
      </c>
      <c r="H43" s="2">
        <v>0</v>
      </c>
      <c r="I43" s="2">
        <v>72.999711000000005</v>
      </c>
      <c r="J43" s="2">
        <v>90.805284</v>
      </c>
      <c r="K43" s="2">
        <v>74.177048999999997</v>
      </c>
      <c r="L43" s="2">
        <v>0</v>
      </c>
      <c r="M43" s="2">
        <v>0</v>
      </c>
      <c r="N43" s="2">
        <v>0</v>
      </c>
      <c r="O43" s="2">
        <v>124.40506499999999</v>
      </c>
      <c r="P43" s="2">
        <v>0</v>
      </c>
      <c r="Q43" s="2">
        <v>30.000246000000001</v>
      </c>
      <c r="R43" s="2">
        <v>47.627031000000002</v>
      </c>
      <c r="S43" s="2">
        <v>11.306438999999999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49.232318999999997</v>
      </c>
      <c r="AD43" s="2">
        <v>0</v>
      </c>
      <c r="AE43" s="2">
        <v>0</v>
      </c>
      <c r="AF43" s="2">
        <v>0</v>
      </c>
      <c r="AG43" s="2">
        <v>26.999869530000002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</row>
    <row r="44" spans="1:57" ht="15" customHeight="1" x14ac:dyDescent="0.3">
      <c r="A44" s="4" t="s">
        <v>127</v>
      </c>
      <c r="B44" s="5">
        <f t="shared" si="1"/>
        <v>1872.7358280000001</v>
      </c>
      <c r="C44" s="5"/>
      <c r="D44" s="2">
        <v>565.680477</v>
      </c>
      <c r="E44" s="2">
        <v>9.999765</v>
      </c>
      <c r="F44" s="2">
        <v>445.68615</v>
      </c>
      <c r="G44" s="2">
        <v>192.21041399999999</v>
      </c>
      <c r="H44" s="2">
        <v>0</v>
      </c>
      <c r="I44" s="2">
        <v>0</v>
      </c>
      <c r="J44" s="2">
        <v>59.772252000000002</v>
      </c>
      <c r="K44" s="2">
        <v>9.999765</v>
      </c>
      <c r="L44" s="2">
        <v>0</v>
      </c>
      <c r="M44" s="2">
        <v>92.633105999999998</v>
      </c>
      <c r="N44" s="2">
        <v>247.39979700000001</v>
      </c>
      <c r="O44" s="2">
        <v>79.733742000000007</v>
      </c>
      <c r="P44" s="2">
        <v>0</v>
      </c>
      <c r="Q44" s="2">
        <v>0</v>
      </c>
      <c r="R44" s="2">
        <v>64.284746999999996</v>
      </c>
      <c r="S44" s="2">
        <v>11.937903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40.000011000000001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53.397699000000003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</row>
    <row r="45" spans="1:57" ht="15" customHeight="1" x14ac:dyDescent="0.3">
      <c r="A45" s="4" t="s">
        <v>128</v>
      </c>
      <c r="B45" s="5">
        <f t="shared" si="1"/>
        <v>2231.1116190000007</v>
      </c>
      <c r="C45" s="5"/>
      <c r="D45" s="2">
        <v>602.36435100000006</v>
      </c>
      <c r="E45" s="2">
        <v>90.979316999999995</v>
      </c>
      <c r="F45" s="2">
        <v>384.672843</v>
      </c>
      <c r="G45" s="2">
        <v>249.26470800000001</v>
      </c>
      <c r="H45" s="2">
        <v>129.999798</v>
      </c>
      <c r="I45" s="2">
        <v>100.509288</v>
      </c>
      <c r="J45" s="2">
        <v>45.900965999999997</v>
      </c>
      <c r="K45" s="2">
        <v>32.000199000000002</v>
      </c>
      <c r="L45" s="2">
        <v>0</v>
      </c>
      <c r="M45" s="2">
        <v>83.668980000000005</v>
      </c>
      <c r="N45" s="2">
        <v>63.645674999999997</v>
      </c>
      <c r="O45" s="2">
        <v>62.529201</v>
      </c>
      <c r="P45" s="2">
        <v>0</v>
      </c>
      <c r="Q45" s="2">
        <v>0</v>
      </c>
      <c r="R45" s="2">
        <v>132.841386</v>
      </c>
      <c r="S45" s="2">
        <v>15.877896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100.08609300000001</v>
      </c>
      <c r="AB45" s="2">
        <v>0</v>
      </c>
      <c r="AC45" s="2">
        <v>6.0169769999999998</v>
      </c>
      <c r="AD45" s="2">
        <v>0</v>
      </c>
      <c r="AE45" s="2">
        <v>0</v>
      </c>
      <c r="AF45" s="2">
        <v>89.999786999999998</v>
      </c>
      <c r="AG45" s="2">
        <v>0</v>
      </c>
      <c r="AH45" s="2">
        <v>40.754154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</row>
    <row r="46" spans="1:57" ht="15" customHeight="1" x14ac:dyDescent="0.3">
      <c r="A46" s="4" t="s">
        <v>129</v>
      </c>
      <c r="B46" s="5">
        <f t="shared" si="1"/>
        <v>1835.3092230000002</v>
      </c>
      <c r="C46" s="5"/>
      <c r="D46" s="2">
        <v>780.633105</v>
      </c>
      <c r="E46" s="2">
        <v>55.779953999999996</v>
      </c>
      <c r="F46" s="2">
        <v>350.00603999999998</v>
      </c>
      <c r="G46" s="2">
        <v>0</v>
      </c>
      <c r="H46" s="2">
        <v>221.154099</v>
      </c>
      <c r="I46" s="2">
        <v>13.480425</v>
      </c>
      <c r="J46" s="2">
        <v>128.00840400000001</v>
      </c>
      <c r="K46" s="2">
        <v>70.000257000000005</v>
      </c>
      <c r="L46" s="2">
        <v>14.776638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78.073295999999999</v>
      </c>
      <c r="S46" s="2">
        <v>16.155588000000002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34.999653000000002</v>
      </c>
      <c r="AE46" s="2">
        <v>72.241764000000003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</row>
    <row r="47" spans="1:57" ht="15" customHeight="1" x14ac:dyDescent="0.3">
      <c r="A47" s="4" t="s">
        <v>130</v>
      </c>
      <c r="B47" s="5">
        <f t="shared" si="1"/>
        <v>1392.1013790000002</v>
      </c>
      <c r="C47" s="5"/>
      <c r="D47" s="2">
        <v>381.71808600000003</v>
      </c>
      <c r="E47" s="2">
        <v>94.077674999999999</v>
      </c>
      <c r="F47" s="2">
        <v>278.51176199999998</v>
      </c>
      <c r="G47" s="2">
        <v>63.283344</v>
      </c>
      <c r="H47" s="2">
        <v>0</v>
      </c>
      <c r="I47" s="2">
        <v>73.753854000000004</v>
      </c>
      <c r="J47" s="2">
        <v>43.107878999999997</v>
      </c>
      <c r="K47" s="2">
        <v>78.069491999999997</v>
      </c>
      <c r="L47" s="2">
        <v>5.2228919999999999</v>
      </c>
      <c r="M47" s="2">
        <v>0</v>
      </c>
      <c r="N47" s="2">
        <v>99.999551999999994</v>
      </c>
      <c r="O47" s="2">
        <v>40.000011000000001</v>
      </c>
      <c r="P47" s="2">
        <v>0</v>
      </c>
      <c r="Q47" s="2">
        <v>0</v>
      </c>
      <c r="R47" s="2">
        <v>0</v>
      </c>
      <c r="S47" s="2">
        <v>26.155353000000002</v>
      </c>
      <c r="T47" s="2">
        <v>30.000246000000001</v>
      </c>
      <c r="U47" s="2">
        <v>144.89436000000001</v>
      </c>
      <c r="V47" s="2">
        <v>0</v>
      </c>
      <c r="W47" s="2">
        <v>33.306873000000003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</row>
    <row r="48" spans="1:57" ht="15" customHeight="1" x14ac:dyDescent="0.3">
      <c r="A48" s="4" t="s">
        <v>131</v>
      </c>
      <c r="B48" s="5">
        <f t="shared" si="1"/>
        <v>1268.5921560000002</v>
      </c>
      <c r="C48" s="5"/>
      <c r="D48" s="2">
        <v>460.866963</v>
      </c>
      <c r="E48" s="2">
        <v>129.66314399999999</v>
      </c>
      <c r="F48" s="2">
        <v>334.788138</v>
      </c>
      <c r="G48" s="2">
        <v>67.099706999999995</v>
      </c>
      <c r="H48" s="2">
        <v>0</v>
      </c>
      <c r="I48" s="2">
        <v>0</v>
      </c>
      <c r="J48" s="2">
        <v>17.150334000000001</v>
      </c>
      <c r="K48" s="2">
        <v>123.794523</v>
      </c>
      <c r="L48" s="2">
        <v>0</v>
      </c>
      <c r="M48" s="2">
        <v>0</v>
      </c>
      <c r="N48" s="2">
        <v>0</v>
      </c>
      <c r="O48" s="2">
        <v>54.073860000000003</v>
      </c>
      <c r="P48" s="2">
        <v>44.999417999999999</v>
      </c>
      <c r="Q48" s="2">
        <v>0</v>
      </c>
      <c r="R48" s="2">
        <v>0</v>
      </c>
      <c r="S48" s="2">
        <v>6.1558229999999998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30.000246000000001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</row>
    <row r="49" spans="1:57" ht="15" customHeight="1" x14ac:dyDescent="0.3">
      <c r="A49" s="4" t="s">
        <v>132</v>
      </c>
      <c r="B49" s="5">
        <f t="shared" si="1"/>
        <v>1913.1618870000004</v>
      </c>
      <c r="C49" s="5"/>
      <c r="D49" s="2">
        <v>902.49709800000005</v>
      </c>
      <c r="E49" s="2">
        <v>47.551901999999998</v>
      </c>
      <c r="F49" s="2">
        <v>347.024655</v>
      </c>
      <c r="G49" s="2">
        <v>142.475967</v>
      </c>
      <c r="H49" s="2">
        <v>281.73945600000002</v>
      </c>
      <c r="I49" s="2">
        <v>0</v>
      </c>
      <c r="J49" s="2">
        <v>24.999887999999999</v>
      </c>
      <c r="K49" s="2">
        <v>44.999417999999999</v>
      </c>
      <c r="L49" s="2">
        <v>0</v>
      </c>
      <c r="M49" s="2">
        <v>0</v>
      </c>
      <c r="N49" s="2">
        <v>0</v>
      </c>
      <c r="O49" s="2">
        <v>5.0003580000000003</v>
      </c>
      <c r="P49" s="2">
        <v>0</v>
      </c>
      <c r="Q49" s="2">
        <v>87.181022999999996</v>
      </c>
      <c r="R49" s="2">
        <v>0</v>
      </c>
      <c r="S49" s="2">
        <v>29.692122000000001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</row>
    <row r="50" spans="1:57" ht="15" customHeight="1" x14ac:dyDescent="0.3">
      <c r="A50" s="4" t="s">
        <v>133</v>
      </c>
      <c r="B50" s="5">
        <f t="shared" si="1"/>
        <v>1323.0882600000002</v>
      </c>
      <c r="C50" s="5"/>
      <c r="D50" s="2">
        <v>412.71878400000003</v>
      </c>
      <c r="E50" s="2">
        <v>91.466228999999998</v>
      </c>
      <c r="F50" s="2">
        <v>231.30507299999999</v>
      </c>
      <c r="G50" s="2">
        <v>109.927992</v>
      </c>
      <c r="H50" s="2">
        <v>120.000033</v>
      </c>
      <c r="I50" s="2">
        <v>41.338068</v>
      </c>
      <c r="J50" s="2">
        <v>32.999699999999997</v>
      </c>
      <c r="K50" s="2">
        <v>9.999765</v>
      </c>
      <c r="L50" s="2">
        <v>35.529359999999997</v>
      </c>
      <c r="M50" s="2">
        <v>0</v>
      </c>
      <c r="N50" s="2">
        <v>0</v>
      </c>
      <c r="O50" s="2">
        <v>0</v>
      </c>
      <c r="P50" s="2">
        <v>0</v>
      </c>
      <c r="Q50" s="2">
        <v>133.43576100000001</v>
      </c>
      <c r="R50" s="2">
        <v>30.000246000000001</v>
      </c>
      <c r="S50" s="2">
        <v>13.367255999999999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34.999653000000002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26.000340000000001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</row>
    <row r="51" spans="1:57" ht="15" customHeight="1" x14ac:dyDescent="0.3">
      <c r="A51" s="4" t="s">
        <v>134</v>
      </c>
      <c r="B51" s="5">
        <f t="shared" si="1"/>
        <v>1848.2865689999999</v>
      </c>
      <c r="C51" s="5"/>
      <c r="D51" s="2">
        <v>675.09112500000003</v>
      </c>
      <c r="E51" s="2">
        <v>110.977896</v>
      </c>
      <c r="F51" s="2">
        <v>205.52631600000001</v>
      </c>
      <c r="G51" s="2">
        <v>68.292260999999996</v>
      </c>
      <c r="H51" s="2">
        <v>155.23173</v>
      </c>
      <c r="I51" s="2">
        <v>104.99991</v>
      </c>
      <c r="J51" s="2">
        <v>104.99991</v>
      </c>
      <c r="K51" s="2">
        <v>0</v>
      </c>
      <c r="L51" s="2">
        <v>0</v>
      </c>
      <c r="M51" s="2">
        <v>0</v>
      </c>
      <c r="N51" s="2">
        <v>0</v>
      </c>
      <c r="O51" s="2">
        <v>9.999765</v>
      </c>
      <c r="P51" s="2">
        <v>0</v>
      </c>
      <c r="Q51" s="2">
        <v>167.80585199999999</v>
      </c>
      <c r="R51" s="2">
        <v>0</v>
      </c>
      <c r="S51" s="2">
        <v>70.162878000000006</v>
      </c>
      <c r="T51" s="2">
        <v>0</v>
      </c>
      <c r="U51" s="2">
        <v>0</v>
      </c>
      <c r="V51" s="2">
        <v>99.999551999999994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37.599687000000003</v>
      </c>
      <c r="AE51" s="2">
        <v>0</v>
      </c>
      <c r="AF51" s="2">
        <v>0</v>
      </c>
      <c r="AG51" s="2">
        <v>0</v>
      </c>
      <c r="AH51" s="2">
        <v>0</v>
      </c>
      <c r="AI51" s="2">
        <v>37.599687000000003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</row>
    <row r="52" spans="1:57" ht="15" customHeight="1" x14ac:dyDescent="0.3">
      <c r="A52" s="4" t="s">
        <v>135</v>
      </c>
      <c r="B52" s="5">
        <f t="shared" si="1"/>
        <v>1471.8541409999998</v>
      </c>
      <c r="C52" s="5"/>
      <c r="D52" s="2">
        <v>597.43341599999997</v>
      </c>
      <c r="E52" s="2">
        <v>178.80226500000001</v>
      </c>
      <c r="F52" s="2">
        <v>298.15086300000002</v>
      </c>
      <c r="G52" s="2">
        <v>108.349332</v>
      </c>
      <c r="H52" s="2">
        <v>0</v>
      </c>
      <c r="I52" s="2">
        <v>26.628951000000001</v>
      </c>
      <c r="J52" s="2">
        <v>135.00110699999999</v>
      </c>
      <c r="K52" s="2">
        <v>64.77261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22.718439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39.997157999999999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</row>
    <row r="53" spans="1:57" ht="15" customHeight="1" x14ac:dyDescent="0.3">
      <c r="A53" s="4" t="s">
        <v>136</v>
      </c>
      <c r="B53" s="5">
        <f t="shared" si="1"/>
        <v>1909.9960080000001</v>
      </c>
      <c r="C53" s="5"/>
      <c r="D53" s="2">
        <v>629.57626500000003</v>
      </c>
      <c r="E53" s="2">
        <v>239.27730600000001</v>
      </c>
      <c r="F53" s="2">
        <v>234.930285</v>
      </c>
      <c r="G53" s="2">
        <v>120.000033</v>
      </c>
      <c r="H53" s="2">
        <v>89.999786999999998</v>
      </c>
      <c r="I53" s="2">
        <v>41.938149000000003</v>
      </c>
      <c r="J53" s="2">
        <v>40.000011000000001</v>
      </c>
      <c r="K53" s="2">
        <v>0</v>
      </c>
      <c r="L53" s="2">
        <v>34.999653000000002</v>
      </c>
      <c r="M53" s="2">
        <v>0</v>
      </c>
      <c r="N53" s="2">
        <v>156.50511900000001</v>
      </c>
      <c r="O53" s="2">
        <v>0</v>
      </c>
      <c r="P53" s="2">
        <v>0</v>
      </c>
      <c r="Q53" s="2">
        <v>84.999429000000006</v>
      </c>
      <c r="R53" s="2">
        <v>89.999786999999998</v>
      </c>
      <c r="S53" s="2">
        <v>28.521440999999999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80.000022000000001</v>
      </c>
      <c r="AA53" s="2">
        <v>0</v>
      </c>
      <c r="AB53" s="2">
        <v>0</v>
      </c>
      <c r="AC53" s="2">
        <v>0</v>
      </c>
      <c r="AD53" s="2">
        <v>39.248721000000003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</row>
    <row r="54" spans="1:57" ht="15" customHeight="1" x14ac:dyDescent="0.3">
      <c r="A54" s="4" t="s">
        <v>137</v>
      </c>
      <c r="B54" s="5">
        <f t="shared" si="1"/>
        <v>1875.6344759999999</v>
      </c>
      <c r="C54" s="5"/>
      <c r="D54" s="2">
        <v>486.86064599999997</v>
      </c>
      <c r="E54" s="2">
        <v>138.32294999999999</v>
      </c>
      <c r="F54" s="2">
        <v>226.186791</v>
      </c>
      <c r="G54" s="2">
        <v>80.562062999999995</v>
      </c>
      <c r="H54" s="2">
        <v>129.999798</v>
      </c>
      <c r="I54" s="2">
        <v>46.813926000000002</v>
      </c>
      <c r="J54" s="2">
        <v>30.000246000000001</v>
      </c>
      <c r="K54" s="2">
        <v>89.998835999999997</v>
      </c>
      <c r="L54" s="2">
        <v>0</v>
      </c>
      <c r="M54" s="2">
        <v>130.44962100000001</v>
      </c>
      <c r="N54" s="2">
        <v>0</v>
      </c>
      <c r="O54" s="2">
        <v>49.000275000000002</v>
      </c>
      <c r="P54" s="2">
        <v>38.543078999999999</v>
      </c>
      <c r="Q54" s="2">
        <v>120.000033</v>
      </c>
      <c r="R54" s="2">
        <v>0</v>
      </c>
      <c r="S54" s="2">
        <v>28.786770000000001</v>
      </c>
      <c r="T54" s="2">
        <v>99.999551999999994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8.6569529999999997</v>
      </c>
      <c r="AD54" s="2">
        <v>63.899591999999998</v>
      </c>
      <c r="AE54" s="2">
        <v>0</v>
      </c>
      <c r="AF54" s="2">
        <v>0</v>
      </c>
      <c r="AG54" s="2">
        <v>0</v>
      </c>
      <c r="AH54" s="2">
        <v>0</v>
      </c>
      <c r="AI54" s="2">
        <v>20.467421999999999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67.086393000000001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19.99953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</row>
    <row r="55" spans="1:57" ht="15" customHeight="1" x14ac:dyDescent="0.3">
      <c r="A55" s="4" t="s">
        <v>138</v>
      </c>
      <c r="B55" s="5">
        <f t="shared" si="1"/>
        <v>1662.550563</v>
      </c>
      <c r="C55" s="5"/>
      <c r="D55" s="2">
        <v>605.48838599999999</v>
      </c>
      <c r="E55" s="2">
        <v>104.76215999999999</v>
      </c>
      <c r="F55" s="2">
        <v>235.739586</v>
      </c>
      <c r="G55" s="2">
        <v>20.266760999999999</v>
      </c>
      <c r="H55" s="2">
        <v>156.469932</v>
      </c>
      <c r="I55" s="2">
        <v>70.702095</v>
      </c>
      <c r="J55" s="2">
        <v>72.712508999999997</v>
      </c>
      <c r="K55" s="2">
        <v>0</v>
      </c>
      <c r="L55" s="2">
        <v>0</v>
      </c>
      <c r="M55" s="2">
        <v>93.861797999999993</v>
      </c>
      <c r="N55" s="2">
        <v>0</v>
      </c>
      <c r="O55" s="2">
        <v>0</v>
      </c>
      <c r="P55" s="2">
        <v>40.000011000000001</v>
      </c>
      <c r="Q55" s="2">
        <v>0</v>
      </c>
      <c r="R55" s="2">
        <v>0</v>
      </c>
      <c r="S55" s="2">
        <v>56.912595000000003</v>
      </c>
      <c r="T55" s="2">
        <v>40.000011000000001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90.635054999999994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74.999663999999996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</row>
    <row r="56" spans="1:57" ht="15" customHeight="1" x14ac:dyDescent="0.3">
      <c r="A56" s="4" t="s">
        <v>139</v>
      </c>
      <c r="B56" s="5">
        <f t="shared" si="1"/>
        <v>1586.8988743799998</v>
      </c>
      <c r="C56" s="5"/>
      <c r="D56" s="2">
        <v>553.02647100000002</v>
      </c>
      <c r="E56" s="2">
        <v>273.97073699999999</v>
      </c>
      <c r="F56" s="2">
        <v>151.52187900000001</v>
      </c>
      <c r="G56" s="2">
        <v>196.408128</v>
      </c>
      <c r="H56" s="2">
        <v>157.04623799999999</v>
      </c>
      <c r="I56" s="2">
        <v>24.140184000000001</v>
      </c>
      <c r="J56" s="2">
        <v>3.0327389999999999</v>
      </c>
      <c r="K56" s="2">
        <v>0</v>
      </c>
      <c r="L56" s="2">
        <v>48.037863000000002</v>
      </c>
      <c r="M56" s="2">
        <v>0</v>
      </c>
      <c r="N56" s="2">
        <v>0</v>
      </c>
      <c r="O56" s="2">
        <v>0</v>
      </c>
      <c r="P56" s="2">
        <v>36.999967380000001</v>
      </c>
      <c r="Q56" s="2">
        <v>105.276651</v>
      </c>
      <c r="R56" s="2">
        <v>0</v>
      </c>
      <c r="S56" s="2">
        <v>37.438017000000002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</row>
    <row r="57" spans="1:57" ht="15" customHeight="1" x14ac:dyDescent="0.3">
      <c r="A57" s="4" t="s">
        <v>140</v>
      </c>
      <c r="B57" s="5">
        <f t="shared" si="1"/>
        <v>1556.185017</v>
      </c>
      <c r="C57" s="5"/>
      <c r="D57" s="2">
        <v>632.78398800000002</v>
      </c>
      <c r="E57" s="2">
        <v>84.966144</v>
      </c>
      <c r="F57" s="2">
        <v>236.97018</v>
      </c>
      <c r="G57" s="2">
        <v>41.451236999999999</v>
      </c>
      <c r="H57" s="2">
        <v>139.99956299999999</v>
      </c>
      <c r="I57" s="2">
        <v>49.780095000000003</v>
      </c>
      <c r="J57" s="2">
        <v>0</v>
      </c>
      <c r="K57" s="2">
        <v>0</v>
      </c>
      <c r="L57" s="2">
        <v>0</v>
      </c>
      <c r="M57" s="2">
        <v>150.00027900000001</v>
      </c>
      <c r="N57" s="2">
        <v>0</v>
      </c>
      <c r="O57" s="2">
        <v>0</v>
      </c>
      <c r="P57" s="2">
        <v>24.810638999999998</v>
      </c>
      <c r="Q57" s="2">
        <v>0</v>
      </c>
      <c r="R57" s="2">
        <v>38.000058000000003</v>
      </c>
      <c r="S57" s="2">
        <v>51.996876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67.826271000000006</v>
      </c>
      <c r="AH57" s="2">
        <v>0</v>
      </c>
      <c r="AI57" s="2">
        <v>37.599687000000003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</row>
    <row r="58" spans="1:57" ht="15" customHeight="1" x14ac:dyDescent="0.3">
      <c r="A58" s="4" t="s">
        <v>141</v>
      </c>
      <c r="B58" s="5">
        <f t="shared" si="1"/>
        <v>1411.1023590000002</v>
      </c>
      <c r="C58" s="5"/>
      <c r="D58" s="2">
        <v>596.22089100000005</v>
      </c>
      <c r="E58" s="2">
        <v>171.68117699999999</v>
      </c>
      <c r="F58" s="2">
        <v>344.28292199999999</v>
      </c>
      <c r="G58" s="2">
        <v>0</v>
      </c>
      <c r="H58" s="2">
        <v>0</v>
      </c>
      <c r="I58" s="2">
        <v>40.959569999999999</v>
      </c>
      <c r="J58" s="2">
        <v>0</v>
      </c>
      <c r="K58" s="2">
        <v>37.092804000000001</v>
      </c>
      <c r="L58" s="2">
        <v>0</v>
      </c>
      <c r="M58" s="2">
        <v>0</v>
      </c>
      <c r="N58" s="2">
        <v>0</v>
      </c>
      <c r="O58" s="2">
        <v>0</v>
      </c>
      <c r="P58" s="2">
        <v>36.400475999999998</v>
      </c>
      <c r="Q58" s="2">
        <v>77.454194999999999</v>
      </c>
      <c r="R58" s="2">
        <v>0</v>
      </c>
      <c r="S58" s="2">
        <v>57.077117999999999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18.05949</v>
      </c>
      <c r="AF58" s="2">
        <v>0</v>
      </c>
      <c r="AG58" s="2">
        <v>31.873716000000002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</row>
    <row r="59" spans="1:57" ht="15" customHeight="1" x14ac:dyDescent="0.3">
      <c r="A59" s="4" t="s">
        <v>142</v>
      </c>
      <c r="B59" s="5">
        <f t="shared" si="1"/>
        <v>1627.5375960000001</v>
      </c>
      <c r="C59" s="5"/>
      <c r="D59" s="2">
        <v>265.32424500000002</v>
      </c>
      <c r="E59" s="2">
        <v>162.220629</v>
      </c>
      <c r="F59" s="2">
        <v>292.04924699999998</v>
      </c>
      <c r="G59" s="2">
        <v>70.000257000000005</v>
      </c>
      <c r="H59" s="2">
        <v>410.73309599999999</v>
      </c>
      <c r="I59" s="2">
        <v>41.423658000000003</v>
      </c>
      <c r="J59" s="2">
        <v>53.750520000000002</v>
      </c>
      <c r="K59" s="2">
        <v>0</v>
      </c>
      <c r="L59" s="2">
        <v>32.999699999999997</v>
      </c>
      <c r="M59" s="2">
        <v>91.820001000000005</v>
      </c>
      <c r="N59" s="2">
        <v>0</v>
      </c>
      <c r="O59" s="2">
        <v>0</v>
      </c>
      <c r="P59" s="2">
        <v>31.443864000000001</v>
      </c>
      <c r="Q59" s="2">
        <v>0</v>
      </c>
      <c r="R59" s="2">
        <v>0</v>
      </c>
      <c r="S59" s="2">
        <v>22.86204</v>
      </c>
      <c r="T59" s="2">
        <v>72.919826999999998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25.802531999999999</v>
      </c>
      <c r="AF59" s="2">
        <v>0</v>
      </c>
      <c r="AG59" s="2">
        <v>54.187980000000003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</row>
    <row r="60" spans="1:57" ht="15" customHeight="1" x14ac:dyDescent="0.3">
      <c r="A60" s="4" t="s">
        <v>143</v>
      </c>
      <c r="B60" s="5">
        <f t="shared" si="1"/>
        <v>1778.2140359999999</v>
      </c>
      <c r="C60" s="5"/>
      <c r="D60" s="2">
        <v>403.63483200000002</v>
      </c>
      <c r="E60" s="2">
        <v>82.036113</v>
      </c>
      <c r="F60" s="2">
        <v>267.556242</v>
      </c>
      <c r="G60" s="2">
        <v>249.499605</v>
      </c>
      <c r="H60" s="2">
        <v>551.31657299999995</v>
      </c>
      <c r="I60" s="2">
        <v>30.000246000000001</v>
      </c>
      <c r="J60" s="2">
        <v>0</v>
      </c>
      <c r="K60" s="2">
        <v>0</v>
      </c>
      <c r="L60" s="2">
        <v>0</v>
      </c>
      <c r="M60" s="2">
        <v>63.477347999999999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21.643809000000001</v>
      </c>
      <c r="T60" s="2">
        <v>0</v>
      </c>
      <c r="U60" s="2">
        <v>0</v>
      </c>
      <c r="V60" s="2">
        <v>0</v>
      </c>
      <c r="W60" s="2">
        <v>79.441784999999996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29.607482999999998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</row>
    <row r="61" spans="1:57" ht="15" customHeight="1" x14ac:dyDescent="0.3">
      <c r="A61" s="4" t="s">
        <v>144</v>
      </c>
      <c r="B61" s="5">
        <f t="shared" si="1"/>
        <v>2361.2806949999999</v>
      </c>
      <c r="C61" s="5"/>
      <c r="D61" s="2">
        <v>973.408413</v>
      </c>
      <c r="E61" s="2">
        <v>347.65992299999999</v>
      </c>
      <c r="F61" s="2">
        <v>261.98718600000001</v>
      </c>
      <c r="G61" s="2">
        <v>129.999798</v>
      </c>
      <c r="H61" s="2">
        <v>295.71059700000001</v>
      </c>
      <c r="I61" s="2">
        <v>38.774172</v>
      </c>
      <c r="J61" s="2">
        <v>32.999699999999997</v>
      </c>
      <c r="K61" s="2">
        <v>59.999541000000001</v>
      </c>
      <c r="L61" s="2">
        <v>37.826025000000001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28.108706999999999</v>
      </c>
      <c r="T61" s="2">
        <v>104.61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50.196632999999999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</row>
    <row r="62" spans="1:57" ht="15" customHeight="1" x14ac:dyDescent="0.3">
      <c r="A62" s="4" t="s">
        <v>145</v>
      </c>
      <c r="B62" s="5">
        <f t="shared" si="1"/>
        <v>831.20062799999982</v>
      </c>
      <c r="C62" s="5"/>
      <c r="D62" s="2">
        <v>315.70727399999998</v>
      </c>
      <c r="E62" s="2">
        <v>113.058684</v>
      </c>
      <c r="F62" s="2">
        <v>148.52147400000001</v>
      </c>
      <c r="G62" s="2">
        <v>155.414322</v>
      </c>
      <c r="H62" s="2">
        <v>0</v>
      </c>
      <c r="I62" s="2">
        <v>26.999841</v>
      </c>
      <c r="J62" s="2">
        <v>29.607482999999998</v>
      </c>
      <c r="K62" s="2">
        <v>0</v>
      </c>
      <c r="L62" s="2">
        <v>32.999699999999997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8.8918499999999998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</row>
    <row r="63" spans="1:57" ht="15" customHeight="1" x14ac:dyDescent="0.3">
      <c r="A63" s="4" t="s">
        <v>146</v>
      </c>
      <c r="B63" s="5">
        <f t="shared" si="1"/>
        <v>0</v>
      </c>
      <c r="C63" s="5"/>
    </row>
    <row r="64" spans="1:57" ht="15" customHeight="1" x14ac:dyDescent="0.3">
      <c r="A64" s="4"/>
      <c r="B64" s="5">
        <f t="shared" si="1"/>
        <v>0</v>
      </c>
      <c r="C64" s="5"/>
    </row>
    <row r="65" spans="1:1" ht="15" customHeight="1" x14ac:dyDescent="0.3">
      <c r="A65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62"/>
  <sheetViews>
    <sheetView topLeftCell="A6" zoomScaleNormal="100" workbookViewId="0">
      <pane xSplit="1" topLeftCell="B1" activePane="topRight" state="frozen"/>
      <selection activeCell="A37" sqref="A37"/>
      <selection pane="topRight" activeCell="B2" sqref="B2:B30"/>
    </sheetView>
  </sheetViews>
  <sheetFormatPr defaultColWidth="8.59765625" defaultRowHeight="15.6" x14ac:dyDescent="0.3"/>
  <cols>
    <col min="1" max="3" width="9" style="6" customWidth="1"/>
  </cols>
  <sheetData>
    <row r="1" spans="1:45" ht="15" customHeight="1" x14ac:dyDescent="0.3">
      <c r="A1" s="6" t="s">
        <v>29</v>
      </c>
      <c r="B1" s="6" t="s">
        <v>30</v>
      </c>
      <c r="C1" s="6" t="s">
        <v>147</v>
      </c>
      <c r="D1" t="s">
        <v>148</v>
      </c>
      <c r="E1" t="s">
        <v>57</v>
      </c>
      <c r="F1" t="s">
        <v>44</v>
      </c>
      <c r="G1" t="s">
        <v>43</v>
      </c>
      <c r="H1" t="s">
        <v>39</v>
      </c>
      <c r="I1" t="s">
        <v>60</v>
      </c>
      <c r="J1" t="s">
        <v>149</v>
      </c>
      <c r="K1" t="s">
        <v>85</v>
      </c>
      <c r="L1" t="s">
        <v>80</v>
      </c>
      <c r="M1" t="s">
        <v>37</v>
      </c>
      <c r="N1" t="s">
        <v>33</v>
      </c>
      <c r="O1" t="s">
        <v>150</v>
      </c>
      <c r="P1" t="s">
        <v>47</v>
      </c>
      <c r="Q1" t="s">
        <v>49</v>
      </c>
      <c r="R1" t="s">
        <v>83</v>
      </c>
      <c r="S1" t="s">
        <v>34</v>
      </c>
      <c r="T1" t="s">
        <v>46</v>
      </c>
      <c r="U1" t="s">
        <v>77</v>
      </c>
      <c r="V1" t="s">
        <v>151</v>
      </c>
      <c r="W1" t="s">
        <v>152</v>
      </c>
      <c r="X1" t="s">
        <v>70</v>
      </c>
      <c r="Y1" t="s">
        <v>153</v>
      </c>
      <c r="Z1" t="s">
        <v>154</v>
      </c>
      <c r="AA1" t="s">
        <v>155</v>
      </c>
      <c r="AB1" t="s">
        <v>61</v>
      </c>
      <c r="AC1" t="s">
        <v>156</v>
      </c>
      <c r="AD1" t="s">
        <v>40</v>
      </c>
      <c r="AE1" t="s">
        <v>157</v>
      </c>
      <c r="AF1" t="s">
        <v>36</v>
      </c>
      <c r="AG1" t="s">
        <v>158</v>
      </c>
      <c r="AH1" t="s">
        <v>56</v>
      </c>
      <c r="AI1" t="s">
        <v>159</v>
      </c>
      <c r="AJ1" t="s">
        <v>160</v>
      </c>
      <c r="AK1" t="s">
        <v>35</v>
      </c>
      <c r="AL1" t="s">
        <v>161</v>
      </c>
      <c r="AM1" t="s">
        <v>162</v>
      </c>
      <c r="AN1" t="s">
        <v>163</v>
      </c>
      <c r="AO1" t="s">
        <v>164</v>
      </c>
      <c r="AP1" t="s">
        <v>165</v>
      </c>
      <c r="AQ1" t="s">
        <v>166</v>
      </c>
      <c r="AR1" t="s">
        <v>167</v>
      </c>
      <c r="AS1" t="s">
        <v>168</v>
      </c>
    </row>
    <row r="2" spans="1:45" ht="15" customHeight="1" x14ac:dyDescent="0.3">
      <c r="A2" s="7" t="s">
        <v>86</v>
      </c>
      <c r="B2" s="8">
        <f t="shared" ref="B2:B33" si="0">SUM(C2:AH2)</f>
        <v>1062.317403</v>
      </c>
      <c r="C2" s="8"/>
      <c r="D2" s="2">
        <v>387.236739</v>
      </c>
      <c r="E2" s="2">
        <v>419.046738</v>
      </c>
      <c r="F2" s="2">
        <v>42.988053000000001</v>
      </c>
      <c r="G2" s="2">
        <v>25.826307</v>
      </c>
      <c r="H2" s="2">
        <v>12.637839</v>
      </c>
      <c r="I2" s="2">
        <v>36.612549000000001</v>
      </c>
      <c r="J2" s="2">
        <v>11.286467999999999</v>
      </c>
      <c r="K2" s="2">
        <v>1.0365899999999999</v>
      </c>
      <c r="L2" s="2">
        <v>0</v>
      </c>
      <c r="M2" s="2">
        <v>0</v>
      </c>
      <c r="N2" s="2">
        <v>6.5771160000000002</v>
      </c>
      <c r="O2" s="2">
        <v>0</v>
      </c>
      <c r="P2" s="2">
        <v>10.75581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19.492647000000002</v>
      </c>
      <c r="W2" s="2">
        <v>0</v>
      </c>
      <c r="X2" s="2">
        <v>0</v>
      </c>
      <c r="Y2" s="2">
        <v>0</v>
      </c>
      <c r="Z2" s="2">
        <v>29.563737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59.256810000000002</v>
      </c>
      <c r="AG2" s="2">
        <v>0</v>
      </c>
      <c r="AH2" s="2">
        <v>0</v>
      </c>
      <c r="AI2" s="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ht="15" customHeight="1" x14ac:dyDescent="0.3">
      <c r="A3" s="7" t="s">
        <v>87</v>
      </c>
      <c r="B3" s="8">
        <f t="shared" si="0"/>
        <v>1554.7927529999999</v>
      </c>
      <c r="C3" s="8"/>
      <c r="D3" s="2">
        <v>253.166661</v>
      </c>
      <c r="E3" s="2">
        <v>749.18924100000004</v>
      </c>
      <c r="F3" s="2">
        <v>189.69406799999999</v>
      </c>
      <c r="G3" s="2">
        <v>80.913933</v>
      </c>
      <c r="H3" s="2">
        <v>73.864170000000001</v>
      </c>
      <c r="I3" s="2">
        <v>58.885919999999999</v>
      </c>
      <c r="J3" s="2">
        <v>44.166342</v>
      </c>
      <c r="K3" s="2">
        <v>12.824235</v>
      </c>
      <c r="L3" s="2">
        <v>0</v>
      </c>
      <c r="M3" s="2">
        <v>39.294369000000003</v>
      </c>
      <c r="N3" s="2">
        <v>16.700510999999999</v>
      </c>
      <c r="O3" s="2">
        <v>0</v>
      </c>
      <c r="P3" s="2">
        <v>6.9955559999999997</v>
      </c>
      <c r="Q3" s="2">
        <v>0</v>
      </c>
      <c r="R3" s="2">
        <v>0</v>
      </c>
      <c r="S3" s="2">
        <v>0</v>
      </c>
      <c r="T3" s="2">
        <v>0</v>
      </c>
      <c r="U3" s="2">
        <v>24.708881999999999</v>
      </c>
      <c r="V3" s="2">
        <v>0</v>
      </c>
      <c r="W3" s="2">
        <v>0</v>
      </c>
      <c r="X3" s="2">
        <v>0</v>
      </c>
      <c r="Y3" s="2">
        <v>0</v>
      </c>
      <c r="Z3" s="2">
        <v>4.388865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ht="15" customHeight="1" x14ac:dyDescent="0.3">
      <c r="A4" s="7" t="s">
        <v>88</v>
      </c>
      <c r="B4" s="8">
        <f t="shared" si="0"/>
        <v>1207.7443230000001</v>
      </c>
      <c r="C4" s="8"/>
      <c r="D4" s="2">
        <v>427.38415500000002</v>
      </c>
      <c r="E4" s="2">
        <v>418.765242</v>
      </c>
      <c r="F4" s="2">
        <v>69.266085000000004</v>
      </c>
      <c r="G4" s="2">
        <v>48.999324000000001</v>
      </c>
      <c r="H4" s="2">
        <v>0</v>
      </c>
      <c r="I4" s="2">
        <v>52.203243000000001</v>
      </c>
      <c r="J4" s="2">
        <v>13.51371</v>
      </c>
      <c r="K4" s="2">
        <v>52.097681999999999</v>
      </c>
      <c r="L4" s="2">
        <v>49.437735000000004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49.187621999999998</v>
      </c>
      <c r="S4" s="2">
        <v>23.364167999999999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3.5253570000000001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ht="15" customHeight="1" x14ac:dyDescent="0.3">
      <c r="A5" s="7" t="s">
        <v>89</v>
      </c>
      <c r="B5" s="8">
        <f t="shared" si="0"/>
        <v>1561.4468999999999</v>
      </c>
      <c r="C5" s="8"/>
      <c r="D5" s="2">
        <v>489.458778</v>
      </c>
      <c r="E5" s="2">
        <v>291.29605500000002</v>
      </c>
      <c r="F5" s="2">
        <v>110.148624</v>
      </c>
      <c r="G5" s="2">
        <v>150.02310299999999</v>
      </c>
      <c r="H5" s="2">
        <v>41.91057</v>
      </c>
      <c r="I5" s="2">
        <v>16.526478000000001</v>
      </c>
      <c r="J5" s="2">
        <v>39.555894000000002</v>
      </c>
      <c r="K5" s="2">
        <v>49.419665999999999</v>
      </c>
      <c r="L5" s="2">
        <v>99.178838999999996</v>
      </c>
      <c r="M5" s="2">
        <v>31.892735999999999</v>
      </c>
      <c r="N5" s="2">
        <v>0</v>
      </c>
      <c r="O5" s="2">
        <v>0</v>
      </c>
      <c r="P5" s="2">
        <v>0</v>
      </c>
      <c r="Q5" s="2">
        <v>0</v>
      </c>
      <c r="R5" s="2">
        <v>52.436238000000003</v>
      </c>
      <c r="S5" s="2">
        <v>0</v>
      </c>
      <c r="T5" s="2">
        <v>0</v>
      </c>
      <c r="U5" s="2">
        <v>45.458750999999999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113.59790099999999</v>
      </c>
      <c r="AB5" s="2">
        <v>30.543267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ht="15" customHeight="1" x14ac:dyDescent="0.3">
      <c r="A6" s="7" t="s">
        <v>90</v>
      </c>
      <c r="B6" s="8">
        <f t="shared" si="0"/>
        <v>1191.1179900000002</v>
      </c>
      <c r="C6" s="8"/>
      <c r="D6" s="2">
        <v>438.60785700000002</v>
      </c>
      <c r="E6" s="2">
        <v>363.86591399999998</v>
      </c>
      <c r="F6" s="2">
        <v>122.66949</v>
      </c>
      <c r="G6" s="2">
        <v>68.183847</v>
      </c>
      <c r="H6" s="2">
        <v>0</v>
      </c>
      <c r="I6" s="2">
        <v>47.401643999999997</v>
      </c>
      <c r="J6" s="2">
        <v>0</v>
      </c>
      <c r="K6" s="2">
        <v>5.0849970000000004</v>
      </c>
      <c r="L6" s="2">
        <v>62.382747000000002</v>
      </c>
      <c r="M6" s="2">
        <v>0</v>
      </c>
      <c r="N6" s="2">
        <v>10.123395</v>
      </c>
      <c r="O6" s="2">
        <v>0</v>
      </c>
      <c r="P6" s="2">
        <v>9.0525690000000001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2.7255660000000002</v>
      </c>
      <c r="AA6" s="2">
        <v>0</v>
      </c>
      <c r="AB6" s="2">
        <v>61.019964000000002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ht="15" customHeight="1" x14ac:dyDescent="0.3">
      <c r="A7" s="7" t="s">
        <v>91</v>
      </c>
      <c r="B7" s="8">
        <f t="shared" si="0"/>
        <v>960.99881400000004</v>
      </c>
      <c r="C7" s="8"/>
      <c r="D7" s="2">
        <v>522.10280399999999</v>
      </c>
      <c r="E7" s="2">
        <v>107.777781</v>
      </c>
      <c r="F7" s="2">
        <v>155.90313599999999</v>
      </c>
      <c r="G7" s="2">
        <v>91.583202</v>
      </c>
      <c r="H7" s="2">
        <v>0</v>
      </c>
      <c r="I7" s="2">
        <v>19.224464999999999</v>
      </c>
      <c r="J7" s="2">
        <v>0</v>
      </c>
      <c r="K7" s="2">
        <v>13.28547</v>
      </c>
      <c r="L7" s="2">
        <v>0</v>
      </c>
      <c r="M7" s="2">
        <v>0</v>
      </c>
      <c r="N7" s="2">
        <v>10.123395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6.9204270000000001</v>
      </c>
      <c r="Y7" s="2">
        <v>0</v>
      </c>
      <c r="Z7" s="2">
        <v>3.5405730000000002</v>
      </c>
      <c r="AA7" s="2">
        <v>30.537561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ht="15" customHeight="1" x14ac:dyDescent="0.3">
      <c r="A8" s="7" t="s">
        <v>92</v>
      </c>
      <c r="B8" s="8">
        <f t="shared" si="0"/>
        <v>891.78408300000001</v>
      </c>
      <c r="C8" s="8"/>
      <c r="D8" s="2">
        <v>370.89</v>
      </c>
      <c r="E8" s="2">
        <v>360.75234</v>
      </c>
      <c r="F8" s="2">
        <v>54.295442999999999</v>
      </c>
      <c r="G8" s="2">
        <v>48.168149999999997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8.2223459999999999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49.455804000000001</v>
      </c>
      <c r="AF8" s="2">
        <v>0</v>
      </c>
      <c r="AG8" s="2">
        <v>0</v>
      </c>
      <c r="AH8" s="2">
        <v>0</v>
      </c>
      <c r="AI8" s="2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12.283116</v>
      </c>
      <c r="AQ8">
        <v>0</v>
      </c>
      <c r="AR8">
        <v>0</v>
      </c>
      <c r="AS8">
        <v>0</v>
      </c>
    </row>
    <row r="9" spans="1:45" ht="15" customHeight="1" x14ac:dyDescent="0.3">
      <c r="A9" s="7" t="s">
        <v>93</v>
      </c>
      <c r="B9" s="8">
        <f t="shared" si="0"/>
        <v>1088.8398419999999</v>
      </c>
      <c r="C9" s="8"/>
      <c r="D9" s="2">
        <v>299.55834299999998</v>
      </c>
      <c r="E9" s="2">
        <v>334.99355400000002</v>
      </c>
      <c r="F9" s="2">
        <v>84.983261999999996</v>
      </c>
      <c r="G9" s="2">
        <v>103.491624</v>
      </c>
      <c r="H9" s="2">
        <v>146.904774</v>
      </c>
      <c r="I9" s="2">
        <v>0</v>
      </c>
      <c r="J9" s="2">
        <v>0</v>
      </c>
      <c r="K9" s="2">
        <v>0</v>
      </c>
      <c r="L9" s="2">
        <v>34.914062999999999</v>
      </c>
      <c r="M9" s="2">
        <v>0</v>
      </c>
      <c r="N9" s="2">
        <v>2.4668939999999999</v>
      </c>
      <c r="O9" s="2">
        <v>2.476404</v>
      </c>
      <c r="P9" s="2">
        <v>0</v>
      </c>
      <c r="Q9" s="2">
        <v>0</v>
      </c>
      <c r="R9" s="2">
        <v>46.490586</v>
      </c>
      <c r="S9" s="2">
        <v>6.9442019999999998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5.8248749999999996</v>
      </c>
      <c r="AA9" s="2">
        <v>0</v>
      </c>
      <c r="AB9" s="2">
        <v>0</v>
      </c>
      <c r="AC9" s="2">
        <v>8.4990869999999994</v>
      </c>
      <c r="AD9" s="2">
        <v>11.292173999999999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ht="15" customHeight="1" x14ac:dyDescent="0.3">
      <c r="A10" s="7" t="s">
        <v>94</v>
      </c>
      <c r="B10" s="8">
        <f t="shared" si="0"/>
        <v>746.46272399999998</v>
      </c>
      <c r="C10" s="8"/>
      <c r="D10" s="2">
        <v>400.84745099999998</v>
      </c>
      <c r="E10" s="2">
        <v>45.315150000000003</v>
      </c>
      <c r="F10" s="2">
        <v>23.915748000000001</v>
      </c>
      <c r="G10" s="2">
        <v>94.420034999999999</v>
      </c>
      <c r="H10" s="2">
        <v>66.076430999999999</v>
      </c>
      <c r="I10" s="2">
        <v>0</v>
      </c>
      <c r="J10" s="2">
        <v>0</v>
      </c>
      <c r="K10" s="2">
        <v>60.042335999999999</v>
      </c>
      <c r="L10" s="2">
        <v>0</v>
      </c>
      <c r="M10" s="2">
        <v>0</v>
      </c>
      <c r="N10" s="2">
        <v>0</v>
      </c>
      <c r="O10" s="2">
        <v>9.8903999999999996</v>
      </c>
      <c r="P10" s="2">
        <v>0</v>
      </c>
      <c r="Q10" s="2">
        <v>0</v>
      </c>
      <c r="R10" s="2">
        <v>45.955173000000002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ht="15" customHeight="1" x14ac:dyDescent="0.3">
      <c r="A11" s="7" t="s">
        <v>95</v>
      </c>
      <c r="B11" s="8">
        <f t="shared" si="0"/>
        <v>655.19240100000002</v>
      </c>
      <c r="C11" s="8"/>
      <c r="D11" s="2">
        <v>102.891543</v>
      </c>
      <c r="E11" s="2">
        <v>162.92056500000001</v>
      </c>
      <c r="F11" s="2">
        <v>111.49428899999999</v>
      </c>
      <c r="G11" s="2">
        <v>84.984212999999997</v>
      </c>
      <c r="H11" s="2">
        <v>136.15086600000001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4.0626720000000001</v>
      </c>
      <c r="O11" s="2">
        <v>31.664496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6.9042599999999998</v>
      </c>
      <c r="AA11" s="2">
        <v>0</v>
      </c>
      <c r="AB11" s="2">
        <v>0</v>
      </c>
      <c r="AC11" s="2">
        <v>14.119497000000001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ht="15" customHeight="1" x14ac:dyDescent="0.3">
      <c r="A12" s="7" t="s">
        <v>96</v>
      </c>
      <c r="B12" s="8">
        <f t="shared" si="0"/>
        <v>852.34611300000006</v>
      </c>
      <c r="C12" s="8"/>
      <c r="D12" s="2">
        <v>486.83021400000001</v>
      </c>
      <c r="E12" s="2">
        <v>96.175580999999994</v>
      </c>
      <c r="F12" s="2">
        <v>34.37865</v>
      </c>
      <c r="G12" s="2">
        <v>107.78348699999999</v>
      </c>
      <c r="H12" s="2">
        <v>0</v>
      </c>
      <c r="I12" s="2">
        <v>0</v>
      </c>
      <c r="J12" s="2">
        <v>0</v>
      </c>
      <c r="K12" s="2">
        <v>6.6550979999999997</v>
      </c>
      <c r="L12" s="2">
        <v>44.878641000000002</v>
      </c>
      <c r="M12" s="2">
        <v>0</v>
      </c>
      <c r="N12" s="2">
        <v>3.9999060000000002</v>
      </c>
      <c r="O12" s="2">
        <v>0</v>
      </c>
      <c r="P12" s="2">
        <v>53.352051000000003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18.292484999999999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ht="15" customHeight="1" x14ac:dyDescent="0.3">
      <c r="A13" s="7" t="s">
        <v>97</v>
      </c>
      <c r="B13" s="8">
        <f t="shared" si="0"/>
        <v>942.08437500000002</v>
      </c>
      <c r="C13" s="8"/>
      <c r="D13" s="2">
        <v>291.97982400000001</v>
      </c>
      <c r="E13" s="2">
        <v>216.56742600000001</v>
      </c>
      <c r="F13" s="2">
        <v>118.378578</v>
      </c>
      <c r="G13" s="2">
        <v>69.644582999999997</v>
      </c>
      <c r="H13" s="2">
        <v>87.345545999999999</v>
      </c>
      <c r="I13" s="2">
        <v>0</v>
      </c>
      <c r="J13" s="2">
        <v>26.290395</v>
      </c>
      <c r="K13" s="2">
        <v>0</v>
      </c>
      <c r="L13" s="2">
        <v>15.000123</v>
      </c>
      <c r="M13" s="2">
        <v>0</v>
      </c>
      <c r="N13" s="2">
        <v>0</v>
      </c>
      <c r="O13" s="2">
        <v>0</v>
      </c>
      <c r="P13" s="2">
        <v>9.4206059999999994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4.5001319999999998</v>
      </c>
      <c r="AA13" s="2">
        <v>0</v>
      </c>
      <c r="AB13" s="2">
        <v>0</v>
      </c>
      <c r="AC13" s="2">
        <v>0</v>
      </c>
      <c r="AD13" s="2">
        <v>66.736424999999997</v>
      </c>
      <c r="AE13" s="2">
        <v>36.220737</v>
      </c>
      <c r="AF13" s="2">
        <v>0</v>
      </c>
      <c r="AG13" s="2">
        <v>0</v>
      </c>
      <c r="AH13" s="2">
        <v>0</v>
      </c>
      <c r="AI13" s="2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ht="15" customHeight="1" x14ac:dyDescent="0.3">
      <c r="A14" s="7" t="s">
        <v>98</v>
      </c>
      <c r="B14" s="8">
        <f t="shared" si="0"/>
        <v>528.36704099999997</v>
      </c>
      <c r="C14" s="8"/>
      <c r="D14" s="2">
        <v>57.710484000000001</v>
      </c>
      <c r="E14" s="2">
        <v>76.115187000000006</v>
      </c>
      <c r="F14" s="2">
        <v>35.064321</v>
      </c>
      <c r="G14" s="2">
        <v>50.496198</v>
      </c>
      <c r="H14" s="2">
        <v>84.365111999999996</v>
      </c>
      <c r="I14" s="2">
        <v>0</v>
      </c>
      <c r="J14" s="2">
        <v>25.492505999999999</v>
      </c>
      <c r="K14" s="2">
        <v>5.8258260000000002</v>
      </c>
      <c r="L14" s="2">
        <v>0</v>
      </c>
      <c r="M14" s="2">
        <v>0</v>
      </c>
      <c r="N14" s="2">
        <v>5.0621729999999996</v>
      </c>
      <c r="O14" s="2">
        <v>51.896070000000002</v>
      </c>
      <c r="P14" s="2">
        <v>0</v>
      </c>
      <c r="Q14" s="2">
        <v>45.923789999999997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51.999729000000002</v>
      </c>
      <c r="AC14" s="2">
        <v>38.415644999999998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ht="15" customHeight="1" x14ac:dyDescent="0.3">
      <c r="A15" s="7" t="s">
        <v>99</v>
      </c>
      <c r="B15" s="8">
        <f t="shared" si="0"/>
        <v>711.21581099999992</v>
      </c>
      <c r="C15" s="8"/>
      <c r="D15" s="2">
        <v>313.77294000000001</v>
      </c>
      <c r="E15" s="2">
        <v>62.694674999999997</v>
      </c>
      <c r="F15" s="2">
        <v>66.226688999999993</v>
      </c>
      <c r="G15" s="2">
        <v>83.506359000000003</v>
      </c>
      <c r="H15" s="2">
        <v>68.437764000000001</v>
      </c>
      <c r="I15" s="2">
        <v>0</v>
      </c>
      <c r="J15" s="2">
        <v>5.2209899999999996</v>
      </c>
      <c r="K15" s="2">
        <v>16.434231</v>
      </c>
      <c r="L15" s="2">
        <v>0</v>
      </c>
      <c r="M15" s="2">
        <v>0</v>
      </c>
      <c r="N15" s="2">
        <v>68.568050999999997</v>
      </c>
      <c r="O15" s="2">
        <v>15.798012</v>
      </c>
      <c r="P15" s="2">
        <v>7.8524070000000004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2.7036929999999999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5.7060000000000004</v>
      </c>
      <c r="AS15">
        <v>0</v>
      </c>
    </row>
    <row r="16" spans="1:45" ht="15" customHeight="1" x14ac:dyDescent="0.3">
      <c r="A16" s="7" t="s">
        <v>100</v>
      </c>
      <c r="B16" s="8">
        <f t="shared" si="0"/>
        <v>519.48850500000003</v>
      </c>
      <c r="C16" s="8"/>
      <c r="D16" s="2">
        <v>155.441901</v>
      </c>
      <c r="E16" s="2">
        <v>53.170409999999997</v>
      </c>
      <c r="F16" s="2">
        <v>34.662047999999999</v>
      </c>
      <c r="G16" s="2">
        <v>87.000332999999998</v>
      </c>
      <c r="H16" s="2">
        <v>24.733608</v>
      </c>
      <c r="I16" s="2">
        <v>41.868726000000002</v>
      </c>
      <c r="J16" s="2">
        <v>10.531374</v>
      </c>
      <c r="K16" s="2">
        <v>24.121164</v>
      </c>
      <c r="L16" s="2">
        <v>0</v>
      </c>
      <c r="M16" s="2">
        <v>0</v>
      </c>
      <c r="N16" s="2">
        <v>0</v>
      </c>
      <c r="O16" s="2">
        <v>21.787410000000001</v>
      </c>
      <c r="P16" s="2">
        <v>10.132904999999999</v>
      </c>
      <c r="Q16" s="2">
        <v>0</v>
      </c>
      <c r="R16" s="2">
        <v>0</v>
      </c>
      <c r="S16" s="2">
        <v>0</v>
      </c>
      <c r="T16" s="2">
        <v>0</v>
      </c>
      <c r="U16" s="2">
        <v>35.248815</v>
      </c>
      <c r="V16" s="2">
        <v>0</v>
      </c>
      <c r="W16" s="2">
        <v>18.590147999999999</v>
      </c>
      <c r="X16" s="2">
        <v>0</v>
      </c>
      <c r="Y16" s="2">
        <v>0</v>
      </c>
      <c r="Z16" s="2">
        <v>2.1996630000000001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>
        <v>0</v>
      </c>
      <c r="AK16">
        <v>0</v>
      </c>
      <c r="AL16">
        <v>0</v>
      </c>
      <c r="AM16">
        <v>0</v>
      </c>
      <c r="AN16">
        <v>13.969239</v>
      </c>
      <c r="AO16">
        <v>13.969239</v>
      </c>
      <c r="AP16">
        <v>0</v>
      </c>
      <c r="AQ16">
        <v>7.7611109999999996</v>
      </c>
      <c r="AR16">
        <v>0</v>
      </c>
      <c r="AS16">
        <v>0</v>
      </c>
    </row>
    <row r="17" spans="1:45" ht="15" customHeight="1" x14ac:dyDescent="0.3">
      <c r="A17" s="7" t="s">
        <v>101</v>
      </c>
      <c r="B17" s="8">
        <f t="shared" si="0"/>
        <v>569.64614700000016</v>
      </c>
      <c r="C17" s="8"/>
      <c r="D17" s="2">
        <v>293.964561</v>
      </c>
      <c r="E17" s="2">
        <v>0</v>
      </c>
      <c r="F17" s="2">
        <v>44.129252999999999</v>
      </c>
      <c r="G17" s="2">
        <v>0</v>
      </c>
      <c r="H17" s="2">
        <v>49.510010999999999</v>
      </c>
      <c r="I17" s="2">
        <v>44.501094000000002</v>
      </c>
      <c r="J17" s="2">
        <v>0</v>
      </c>
      <c r="K17" s="2">
        <v>45.486330000000002</v>
      </c>
      <c r="L17" s="2">
        <v>0</v>
      </c>
      <c r="M17" s="2">
        <v>0</v>
      </c>
      <c r="N17" s="2">
        <v>10.499991</v>
      </c>
      <c r="O17" s="2">
        <v>20.387537999999999</v>
      </c>
      <c r="P17" s="2">
        <v>0</v>
      </c>
      <c r="Q17" s="2">
        <v>0</v>
      </c>
      <c r="R17" s="2">
        <v>43.999917000000003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17.167452000000001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ht="15" customHeight="1" x14ac:dyDescent="0.3">
      <c r="A18" s="7" t="s">
        <v>102</v>
      </c>
      <c r="B18" s="8">
        <f t="shared" si="0"/>
        <v>717.61794300000008</v>
      </c>
      <c r="C18" s="8"/>
      <c r="D18" s="2">
        <v>183.85397699999999</v>
      </c>
      <c r="E18" s="2">
        <v>45.358896000000001</v>
      </c>
      <c r="F18" s="2">
        <v>201.35523000000001</v>
      </c>
      <c r="G18" s="2">
        <v>62.198253000000001</v>
      </c>
      <c r="H18" s="2">
        <v>99.000050999999999</v>
      </c>
      <c r="I18" s="2">
        <v>43.621419000000003</v>
      </c>
      <c r="J18" s="2">
        <v>10.620768</v>
      </c>
      <c r="K18" s="2">
        <v>33.434306999999997</v>
      </c>
      <c r="L18" s="2">
        <v>0</v>
      </c>
      <c r="M18" s="2">
        <v>0</v>
      </c>
      <c r="N18" s="2">
        <v>0</v>
      </c>
      <c r="O18" s="2">
        <v>22.617633000000001</v>
      </c>
      <c r="P18" s="2">
        <v>0</v>
      </c>
      <c r="Q18" s="2">
        <v>0</v>
      </c>
      <c r="R18" s="2">
        <v>0</v>
      </c>
      <c r="S18" s="2">
        <v>9.8295359999999992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5.7278729999999998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>
        <v>5.4891719999999999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ht="15" customHeight="1" x14ac:dyDescent="0.3">
      <c r="A19" s="7" t="s">
        <v>103</v>
      </c>
      <c r="B19" s="8">
        <f t="shared" si="0"/>
        <v>542.69861099999991</v>
      </c>
      <c r="C19" s="8"/>
      <c r="D19" s="2">
        <v>202.56109799999999</v>
      </c>
      <c r="E19" s="2">
        <v>7.7687189999999999</v>
      </c>
      <c r="F19" s="2">
        <v>78.149376000000004</v>
      </c>
      <c r="G19" s="2">
        <v>44.244323999999999</v>
      </c>
      <c r="H19" s="2">
        <v>36.999606</v>
      </c>
      <c r="I19" s="2">
        <v>80.033306999999994</v>
      </c>
      <c r="J19" s="2">
        <v>0</v>
      </c>
      <c r="K19" s="2">
        <v>44.210087999999999</v>
      </c>
      <c r="L19" s="2">
        <v>0</v>
      </c>
      <c r="M19" s="2">
        <v>0</v>
      </c>
      <c r="N19" s="2">
        <v>12.731987999999999</v>
      </c>
      <c r="O19" s="2">
        <v>36.000104999999998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ht="15" customHeight="1" x14ac:dyDescent="0.3">
      <c r="A20" s="7" t="s">
        <v>104</v>
      </c>
      <c r="B20" s="8">
        <f t="shared" si="0"/>
        <v>595.71686100000011</v>
      </c>
      <c r="C20" s="8"/>
      <c r="D20" s="2">
        <v>287.340846</v>
      </c>
      <c r="E20" s="2">
        <v>0</v>
      </c>
      <c r="F20" s="2">
        <v>70.707801000000003</v>
      </c>
      <c r="G20" s="2">
        <v>36.999606</v>
      </c>
      <c r="H20" s="2">
        <v>0</v>
      </c>
      <c r="I20" s="2">
        <v>50.487639000000001</v>
      </c>
      <c r="J20" s="2">
        <v>40.000011000000001</v>
      </c>
      <c r="K20" s="2">
        <v>16.890711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9.9379500000000007</v>
      </c>
      <c r="T20" s="2">
        <v>0</v>
      </c>
      <c r="U20" s="2">
        <v>49.170504000000001</v>
      </c>
      <c r="V20" s="2">
        <v>0</v>
      </c>
      <c r="W20" s="2">
        <v>0</v>
      </c>
      <c r="X20" s="2">
        <v>34.181792999999999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>
        <v>12.336372000000001</v>
      </c>
      <c r="AK20">
        <v>0</v>
      </c>
      <c r="AL20">
        <v>6.8557589999999999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ht="15" customHeight="1" x14ac:dyDescent="0.3">
      <c r="A21" s="7" t="s">
        <v>105</v>
      </c>
      <c r="B21" s="8">
        <f t="shared" si="0"/>
        <v>666.17169600000022</v>
      </c>
      <c r="C21" s="8"/>
      <c r="D21" s="2">
        <v>227.03318100000001</v>
      </c>
      <c r="E21" s="2">
        <v>86.348898000000005</v>
      </c>
      <c r="F21" s="2">
        <v>64.015613999999999</v>
      </c>
      <c r="G21" s="2">
        <v>89.432040000000001</v>
      </c>
      <c r="H21" s="2">
        <v>34.999653000000002</v>
      </c>
      <c r="I21" s="2">
        <v>5.9998589999999998</v>
      </c>
      <c r="J21" s="2">
        <v>0</v>
      </c>
      <c r="K21" s="2">
        <v>74.091459</v>
      </c>
      <c r="L21" s="2">
        <v>0</v>
      </c>
      <c r="M21" s="2">
        <v>0</v>
      </c>
      <c r="N21" s="2">
        <v>0</v>
      </c>
      <c r="O21" s="2">
        <v>11.339724</v>
      </c>
      <c r="P21" s="2">
        <v>0</v>
      </c>
      <c r="Q21" s="2">
        <v>15.04482</v>
      </c>
      <c r="R21" s="2">
        <v>0</v>
      </c>
      <c r="S21" s="2">
        <v>0</v>
      </c>
      <c r="T21" s="2">
        <v>54.552213000000002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3.314235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ht="15" customHeight="1" x14ac:dyDescent="0.3">
      <c r="A22" s="7" t="s">
        <v>106</v>
      </c>
      <c r="B22" s="8">
        <f t="shared" si="0"/>
        <v>615.91134599999987</v>
      </c>
      <c r="C22" s="8"/>
      <c r="D22" s="2">
        <v>317.49515400000001</v>
      </c>
      <c r="E22" s="2">
        <v>0</v>
      </c>
      <c r="F22" s="2">
        <v>85.187726999999995</v>
      </c>
      <c r="G22" s="2">
        <v>0</v>
      </c>
      <c r="H22" s="2">
        <v>84.071252999999999</v>
      </c>
      <c r="I22" s="2">
        <v>5.5975859999999997</v>
      </c>
      <c r="J22" s="2">
        <v>0</v>
      </c>
      <c r="K22" s="2">
        <v>11.451942000000001</v>
      </c>
      <c r="L22" s="2">
        <v>0</v>
      </c>
      <c r="M22" s="2">
        <v>0</v>
      </c>
      <c r="N22" s="2">
        <v>3.7146059999999999</v>
      </c>
      <c r="O22" s="2">
        <v>7.5195569999999998</v>
      </c>
      <c r="P22" s="2">
        <v>34.270235999999997</v>
      </c>
      <c r="Q22" s="2">
        <v>0</v>
      </c>
      <c r="R22" s="2">
        <v>0</v>
      </c>
      <c r="S22" s="2">
        <v>21.771242999999998</v>
      </c>
      <c r="T22" s="2">
        <v>9.5128529999999998</v>
      </c>
      <c r="U22" s="2">
        <v>17.700012000000001</v>
      </c>
      <c r="V22" s="2">
        <v>0</v>
      </c>
      <c r="W22" s="2">
        <v>13.469963999999999</v>
      </c>
      <c r="X22" s="2">
        <v>1.336155</v>
      </c>
      <c r="Y22" s="2">
        <v>0</v>
      </c>
      <c r="Z22" s="2">
        <v>2.8130579999999998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>
        <v>19.309104000000001</v>
      </c>
      <c r="AK22">
        <v>0</v>
      </c>
      <c r="AL22">
        <v>19.893018000000001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5.2656869999999998</v>
      </c>
    </row>
    <row r="23" spans="1:45" ht="15" customHeight="1" x14ac:dyDescent="0.3">
      <c r="A23" s="7" t="s">
        <v>107</v>
      </c>
      <c r="B23" s="8">
        <f t="shared" si="0"/>
        <v>765.09186299999999</v>
      </c>
      <c r="C23" s="8"/>
      <c r="D23" s="2">
        <v>243.55965900000001</v>
      </c>
      <c r="E23" s="2">
        <v>0</v>
      </c>
      <c r="F23" s="2">
        <v>177.01723799999999</v>
      </c>
      <c r="G23" s="2">
        <v>49.000275000000002</v>
      </c>
      <c r="H23" s="2">
        <v>136.643484</v>
      </c>
      <c r="I23" s="2">
        <v>67.334603999999999</v>
      </c>
      <c r="J23" s="2">
        <v>0</v>
      </c>
      <c r="K23" s="2">
        <v>6.4344659999999996</v>
      </c>
      <c r="L23" s="2">
        <v>44.041761000000001</v>
      </c>
      <c r="M23" s="2">
        <v>0</v>
      </c>
      <c r="N23" s="2">
        <v>11.499492</v>
      </c>
      <c r="O23" s="2">
        <v>10.560855</v>
      </c>
      <c r="P23" s="2">
        <v>18.000527999999999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0.99950099999999997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ht="15" customHeight="1" x14ac:dyDescent="0.3">
      <c r="A24" s="7" t="s">
        <v>108</v>
      </c>
      <c r="B24" s="8">
        <f t="shared" si="0"/>
        <v>528.32275292999987</v>
      </c>
      <c r="C24" s="8"/>
      <c r="D24" s="2">
        <v>244.79215500000001</v>
      </c>
      <c r="E24" s="2">
        <v>40.000011000000001</v>
      </c>
      <c r="F24" s="2">
        <v>63.815904000000003</v>
      </c>
      <c r="G24" s="2">
        <v>34.941642000000002</v>
      </c>
      <c r="H24" s="2">
        <v>55.637304</v>
      </c>
      <c r="I24" s="2">
        <v>0.99800792999999999</v>
      </c>
      <c r="J24" s="2">
        <v>37.799396999999999</v>
      </c>
      <c r="K24" s="2">
        <v>13.055327999999999</v>
      </c>
      <c r="L24" s="2">
        <v>0</v>
      </c>
      <c r="M24" s="2">
        <v>0</v>
      </c>
      <c r="N24" s="2">
        <v>10.705406999999999</v>
      </c>
      <c r="O24" s="2">
        <v>0</v>
      </c>
      <c r="P24" s="2">
        <v>0</v>
      </c>
      <c r="Q24" s="2">
        <v>0</v>
      </c>
      <c r="R24" s="2">
        <v>0</v>
      </c>
      <c r="S24" s="2">
        <v>11.457648000000001</v>
      </c>
      <c r="T24" s="2">
        <v>0</v>
      </c>
      <c r="U24" s="2">
        <v>0</v>
      </c>
      <c r="V24" s="2">
        <v>0</v>
      </c>
      <c r="W24" s="2">
        <v>0</v>
      </c>
      <c r="X24" s="2">
        <v>15.119949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>
        <v>0</v>
      </c>
      <c r="AK24">
        <v>33.203214000000003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ht="15" customHeight="1" x14ac:dyDescent="0.3">
      <c r="A25" s="7" t="s">
        <v>109</v>
      </c>
      <c r="B25" s="8">
        <f t="shared" si="0"/>
        <v>436.29978</v>
      </c>
      <c r="C25" s="8"/>
      <c r="D25" s="2">
        <v>133.684923</v>
      </c>
      <c r="E25" s="2">
        <v>0</v>
      </c>
      <c r="F25" s="2">
        <v>71.019728999999998</v>
      </c>
      <c r="G25" s="2">
        <v>87.018401999999995</v>
      </c>
      <c r="H25" s="2">
        <v>25.291844999999999</v>
      </c>
      <c r="I25" s="2">
        <v>0</v>
      </c>
      <c r="J25" s="2">
        <v>30.000246000000001</v>
      </c>
      <c r="K25" s="2">
        <v>4.8405899999999997</v>
      </c>
      <c r="L25" s="2">
        <v>0</v>
      </c>
      <c r="M25" s="2">
        <v>0</v>
      </c>
      <c r="N25" s="2">
        <v>19.849271999999999</v>
      </c>
      <c r="O25" s="2">
        <v>14.884100999999999</v>
      </c>
      <c r="P25" s="2">
        <v>0</v>
      </c>
      <c r="Q25" s="2">
        <v>0</v>
      </c>
      <c r="R25" s="2">
        <v>0</v>
      </c>
      <c r="S25" s="2">
        <v>0</v>
      </c>
      <c r="T25" s="2">
        <v>49.710672000000002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ht="15" customHeight="1" x14ac:dyDescent="0.3">
      <c r="A26" s="7" t="s">
        <v>110</v>
      </c>
      <c r="B26" s="8">
        <f t="shared" si="0"/>
        <v>449.53579799999994</v>
      </c>
      <c r="C26" s="8"/>
      <c r="D26" s="2">
        <v>210.08445900000001</v>
      </c>
      <c r="E26" s="2">
        <v>76.979646000000002</v>
      </c>
      <c r="F26" s="2">
        <v>24.743117999999999</v>
      </c>
      <c r="G26" s="2">
        <v>2.421246</v>
      </c>
      <c r="H26" s="2">
        <v>0</v>
      </c>
      <c r="I26" s="2">
        <v>22.679448000000001</v>
      </c>
      <c r="J26" s="2">
        <v>0</v>
      </c>
      <c r="K26" s="2">
        <v>2.2224870000000001</v>
      </c>
      <c r="L26" s="2">
        <v>0</v>
      </c>
      <c r="M26" s="2">
        <v>0</v>
      </c>
      <c r="N26" s="2">
        <v>12.440030999999999</v>
      </c>
      <c r="O26" s="2">
        <v>6.5048399999999997</v>
      </c>
      <c r="P26" s="2">
        <v>78.841703999999993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12.618819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ht="15" customHeight="1" x14ac:dyDescent="0.3">
      <c r="A27" s="7" t="s">
        <v>111</v>
      </c>
      <c r="B27" s="8">
        <f t="shared" si="0"/>
        <v>572.05217700000003</v>
      </c>
      <c r="C27" s="8"/>
      <c r="D27" s="2">
        <v>217.50986700000001</v>
      </c>
      <c r="E27" s="2">
        <v>112.95502500000001</v>
      </c>
      <c r="F27" s="2">
        <v>62.113613999999998</v>
      </c>
      <c r="G27" s="2">
        <v>88.612278000000003</v>
      </c>
      <c r="H27" s="2">
        <v>0</v>
      </c>
      <c r="I27" s="2">
        <v>8.8290839999999999</v>
      </c>
      <c r="J27" s="2">
        <v>0</v>
      </c>
      <c r="K27" s="2">
        <v>7.8267300000000004</v>
      </c>
      <c r="L27" s="2">
        <v>14.825139</v>
      </c>
      <c r="M27" s="2">
        <v>23.686557000000001</v>
      </c>
      <c r="N27" s="2">
        <v>7.8628679999999997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1.6604460000000001</v>
      </c>
      <c r="U27" s="2">
        <v>0</v>
      </c>
      <c r="V27" s="2">
        <v>0</v>
      </c>
      <c r="W27" s="2">
        <v>0</v>
      </c>
      <c r="X27" s="2">
        <v>26.170569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ht="15" customHeight="1" x14ac:dyDescent="0.3">
      <c r="A28" s="7" t="s">
        <v>112</v>
      </c>
      <c r="B28" s="8">
        <f t="shared" si="0"/>
        <v>709.76934000000017</v>
      </c>
      <c r="C28" s="8"/>
      <c r="D28" s="2">
        <v>299.03148900000002</v>
      </c>
      <c r="E28" s="2">
        <v>169.71355800000001</v>
      </c>
      <c r="F28" s="2">
        <v>70.876127999999994</v>
      </c>
      <c r="G28" s="2">
        <v>20.702318999999999</v>
      </c>
      <c r="H28" s="2">
        <v>0</v>
      </c>
      <c r="I28" s="2">
        <v>39.169787999999997</v>
      </c>
      <c r="J28" s="2">
        <v>0</v>
      </c>
      <c r="K28" s="2">
        <v>8.0055180000000004</v>
      </c>
      <c r="L28" s="2">
        <v>0</v>
      </c>
      <c r="M28" s="2">
        <v>19.99953</v>
      </c>
      <c r="N28" s="2">
        <v>10.192818000000001</v>
      </c>
      <c r="O28" s="2">
        <v>0</v>
      </c>
      <c r="P28" s="2">
        <v>5.0003580000000003</v>
      </c>
      <c r="Q28" s="2">
        <v>0</v>
      </c>
      <c r="R28" s="2">
        <v>0</v>
      </c>
      <c r="S28" s="2">
        <v>13.268352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3.9447480000000001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49.864733999999999</v>
      </c>
      <c r="AH28" s="2">
        <v>0</v>
      </c>
      <c r="AI28" s="2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ht="15" customHeight="1" x14ac:dyDescent="0.3">
      <c r="A29" s="7" t="s">
        <v>113</v>
      </c>
      <c r="B29" s="8">
        <f t="shared" si="0"/>
        <v>512.06785200000002</v>
      </c>
      <c r="C29" s="8"/>
      <c r="D29" s="2">
        <v>188.10304500000001</v>
      </c>
      <c r="E29" s="2">
        <v>0</v>
      </c>
      <c r="F29" s="2">
        <v>95.759043000000005</v>
      </c>
      <c r="G29" s="2">
        <v>0</v>
      </c>
      <c r="H29" s="2">
        <v>23.729351999999999</v>
      </c>
      <c r="I29" s="2">
        <v>9.0715889999999995</v>
      </c>
      <c r="J29" s="2">
        <v>0</v>
      </c>
      <c r="K29" s="2">
        <v>7.8723780000000003</v>
      </c>
      <c r="L29" s="2">
        <v>0</v>
      </c>
      <c r="M29" s="2">
        <v>0</v>
      </c>
      <c r="N29" s="2">
        <v>5.0650259999999996</v>
      </c>
      <c r="O29" s="2">
        <v>0</v>
      </c>
      <c r="P29" s="2">
        <v>56.799425999999997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34.775216999999998</v>
      </c>
      <c r="Y29" s="2">
        <v>0</v>
      </c>
      <c r="Z29" s="2">
        <v>5.1781949999999997</v>
      </c>
      <c r="AA29" s="2">
        <v>0</v>
      </c>
      <c r="AB29" s="2">
        <v>0</v>
      </c>
      <c r="AC29" s="2">
        <v>36.957762000000002</v>
      </c>
      <c r="AD29" s="2">
        <v>0</v>
      </c>
      <c r="AE29" s="2">
        <v>0</v>
      </c>
      <c r="AF29" s="2">
        <v>0</v>
      </c>
      <c r="AG29" s="2">
        <v>0</v>
      </c>
      <c r="AH29" s="2">
        <v>48.756819</v>
      </c>
      <c r="AI29" s="2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ht="15" customHeight="1" x14ac:dyDescent="0.3">
      <c r="A30" s="7" t="s">
        <v>114</v>
      </c>
      <c r="B30" s="8">
        <f t="shared" si="0"/>
        <v>807.2810760000001</v>
      </c>
      <c r="C30" s="8"/>
      <c r="D30" s="2">
        <v>279.30965099999997</v>
      </c>
      <c r="E30" s="2">
        <v>98.278242000000006</v>
      </c>
      <c r="F30" s="2">
        <v>94.143293999999997</v>
      </c>
      <c r="G30" s="2">
        <v>130.93368000000001</v>
      </c>
      <c r="H30" s="2">
        <v>93.741972000000004</v>
      </c>
      <c r="I30" s="2">
        <v>52.824246000000002</v>
      </c>
      <c r="J30" s="2">
        <v>0</v>
      </c>
      <c r="K30" s="2">
        <v>10.713015</v>
      </c>
      <c r="L30" s="2">
        <v>0</v>
      </c>
      <c r="M30" s="2">
        <v>0</v>
      </c>
      <c r="N30" s="2">
        <v>19.233024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28.103952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ht="15" customHeight="1" x14ac:dyDescent="0.3">
      <c r="A31" s="7" t="s">
        <v>115</v>
      </c>
      <c r="B31" s="8">
        <f t="shared" si="0"/>
        <v>735.49103700000001</v>
      </c>
      <c r="C31" s="8"/>
      <c r="D31" s="2">
        <v>290.984127</v>
      </c>
      <c r="E31" s="2">
        <v>180.00052500000001</v>
      </c>
      <c r="F31" s="2">
        <v>14.019641999999999</v>
      </c>
      <c r="G31" s="2">
        <v>54.847974000000001</v>
      </c>
      <c r="H31" s="2">
        <v>0</v>
      </c>
      <c r="I31" s="2">
        <v>51.999729000000002</v>
      </c>
      <c r="J31" s="2">
        <v>38.000058000000003</v>
      </c>
      <c r="K31" s="2">
        <v>0</v>
      </c>
      <c r="L31" s="2">
        <v>0</v>
      </c>
      <c r="M31" s="2">
        <v>0</v>
      </c>
      <c r="N31" s="2">
        <v>5.4035820000000001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89.999786999999998</v>
      </c>
      <c r="Z31" s="2">
        <v>10.235613000000001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ht="15" customHeight="1" x14ac:dyDescent="0.3">
      <c r="A32" s="7" t="s">
        <v>116</v>
      </c>
      <c r="B32" s="8">
        <f t="shared" si="0"/>
        <v>763.11283199999991</v>
      </c>
      <c r="C32" s="8"/>
      <c r="D32" s="2">
        <v>358.54506900000001</v>
      </c>
      <c r="E32" s="2">
        <v>119.50361100000001</v>
      </c>
      <c r="F32" s="2">
        <v>87.999834000000007</v>
      </c>
      <c r="G32" s="2">
        <v>80.861627999999996</v>
      </c>
      <c r="H32" s="2">
        <v>0</v>
      </c>
      <c r="I32" s="2">
        <v>0</v>
      </c>
      <c r="J32" s="2">
        <v>17.001027000000001</v>
      </c>
      <c r="K32" s="2">
        <v>5.3436690000000002</v>
      </c>
      <c r="L32" s="2">
        <v>45.358896000000001</v>
      </c>
      <c r="M32" s="2">
        <v>0</v>
      </c>
      <c r="N32" s="2">
        <v>10.732035</v>
      </c>
      <c r="O32" s="2">
        <v>0</v>
      </c>
      <c r="P32" s="2">
        <v>0</v>
      </c>
      <c r="Q32" s="2">
        <v>0</v>
      </c>
      <c r="R32" s="2">
        <v>0</v>
      </c>
      <c r="S32" s="2">
        <v>31.446717</v>
      </c>
      <c r="T32" s="2">
        <v>0</v>
      </c>
      <c r="U32" s="2">
        <v>0</v>
      </c>
      <c r="V32" s="2">
        <v>0</v>
      </c>
      <c r="W32" s="2">
        <v>0</v>
      </c>
      <c r="X32" s="2">
        <v>6.3203459999999998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ht="15" customHeight="1" x14ac:dyDescent="0.3">
      <c r="A33" s="7" t="s">
        <v>117</v>
      </c>
      <c r="B33" s="8">
        <f t="shared" si="0"/>
        <v>596.80860900000005</v>
      </c>
      <c r="C33" s="8"/>
      <c r="D33" s="2">
        <v>233.692083</v>
      </c>
      <c r="E33" s="2">
        <v>43.604301</v>
      </c>
      <c r="F33" s="2">
        <v>46.152980999999997</v>
      </c>
      <c r="G33" s="2">
        <v>0</v>
      </c>
      <c r="H33" s="2">
        <v>55.505115000000004</v>
      </c>
      <c r="I33" s="2">
        <v>56.373378000000002</v>
      </c>
      <c r="J33" s="2">
        <v>19.99953</v>
      </c>
      <c r="K33" s="2">
        <v>0</v>
      </c>
      <c r="L33" s="2">
        <v>136.077639</v>
      </c>
      <c r="M33" s="2">
        <v>0</v>
      </c>
      <c r="N33" s="2">
        <v>5.4035820000000001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ht="15" customHeight="1" x14ac:dyDescent="0.3">
      <c r="A34" s="7" t="s">
        <v>118</v>
      </c>
      <c r="B34" s="8">
        <f t="shared" ref="B34:B62" si="1">SUM(C34:AH34)</f>
        <v>663.71336099999996</v>
      </c>
      <c r="C34" s="8"/>
      <c r="D34" s="2">
        <v>415.67829599999999</v>
      </c>
      <c r="E34" s="2">
        <v>31.988786999999999</v>
      </c>
      <c r="F34" s="2">
        <v>48.004578000000002</v>
      </c>
      <c r="G34" s="2">
        <v>39.416097000000001</v>
      </c>
      <c r="H34" s="2">
        <v>0</v>
      </c>
      <c r="I34" s="2">
        <v>0</v>
      </c>
      <c r="J34" s="2">
        <v>0</v>
      </c>
      <c r="K34" s="2">
        <v>17.528832000000001</v>
      </c>
      <c r="L34" s="2">
        <v>0</v>
      </c>
      <c r="M34" s="2">
        <v>0</v>
      </c>
      <c r="N34" s="2">
        <v>14.552201999999999</v>
      </c>
      <c r="O34" s="2">
        <v>32.124780000000001</v>
      </c>
      <c r="P34" s="2">
        <v>47.511960000000002</v>
      </c>
      <c r="Q34" s="2">
        <v>0</v>
      </c>
      <c r="R34" s="2">
        <v>0</v>
      </c>
      <c r="S34" s="2">
        <v>16.907829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ht="15" customHeight="1" x14ac:dyDescent="0.3">
      <c r="A35" s="7" t="s">
        <v>119</v>
      </c>
      <c r="B35" s="8">
        <f t="shared" si="1"/>
        <v>732.36414899999977</v>
      </c>
      <c r="C35" s="8"/>
      <c r="D35" s="2">
        <v>350.31891899999999</v>
      </c>
      <c r="E35" s="2">
        <v>0</v>
      </c>
      <c r="F35" s="2">
        <v>176.06053199999999</v>
      </c>
      <c r="G35" s="2">
        <v>24.467327999999998</v>
      </c>
      <c r="H35" s="2">
        <v>33.364884000000004</v>
      </c>
      <c r="I35" s="2">
        <v>11.191368000000001</v>
      </c>
      <c r="J35" s="2">
        <v>0</v>
      </c>
      <c r="K35" s="2">
        <v>17.703816</v>
      </c>
      <c r="L35" s="2">
        <v>65.036987999999994</v>
      </c>
      <c r="M35" s="2">
        <v>9.6678660000000001</v>
      </c>
      <c r="N35" s="2">
        <v>6.0968609999999996</v>
      </c>
      <c r="O35" s="2">
        <v>11.441481</v>
      </c>
      <c r="P35" s="2">
        <v>24.201048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2.8130579999999998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40.601993999999998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ht="15" customHeight="1" x14ac:dyDescent="0.3">
      <c r="A36" s="7" t="s">
        <v>120</v>
      </c>
      <c r="B36" s="8">
        <f t="shared" si="1"/>
        <v>415.06870499999997</v>
      </c>
      <c r="C36" s="8"/>
      <c r="D36" s="2">
        <v>294.72060599999998</v>
      </c>
      <c r="E36" s="2">
        <v>19.99953</v>
      </c>
      <c r="F36" s="2">
        <v>12.641643</v>
      </c>
      <c r="G36" s="2">
        <v>49.148631000000002</v>
      </c>
      <c r="H36" s="2">
        <v>0</v>
      </c>
      <c r="I36" s="2">
        <v>32.818058999999998</v>
      </c>
      <c r="J36" s="2">
        <v>0</v>
      </c>
      <c r="K36" s="2">
        <v>0</v>
      </c>
      <c r="L36" s="2">
        <v>0</v>
      </c>
      <c r="M36" s="2">
        <v>0</v>
      </c>
      <c r="N36" s="2">
        <v>5.7402360000000003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ht="15" customHeight="1" x14ac:dyDescent="0.3">
      <c r="A37" s="7" t="s">
        <v>121</v>
      </c>
      <c r="B37" s="8">
        <f t="shared" si="1"/>
        <v>701.77143000000012</v>
      </c>
      <c r="C37" s="8"/>
      <c r="D37" s="2">
        <v>265.85585400000002</v>
      </c>
      <c r="E37" s="2">
        <v>0</v>
      </c>
      <c r="F37" s="2">
        <v>157.99248299999999</v>
      </c>
      <c r="G37" s="2">
        <v>86.572383000000002</v>
      </c>
      <c r="H37" s="2">
        <v>0</v>
      </c>
      <c r="I37" s="2">
        <v>19.99953</v>
      </c>
      <c r="J37" s="2">
        <v>32.694429</v>
      </c>
      <c r="K37" s="2">
        <v>9.1695419999999999</v>
      </c>
      <c r="L37" s="2">
        <v>8.4543900000000001</v>
      </c>
      <c r="M37" s="2">
        <v>64.081232999999997</v>
      </c>
      <c r="N37" s="2">
        <v>12.426717</v>
      </c>
      <c r="O37" s="2">
        <v>6.2794530000000002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26.026968</v>
      </c>
      <c r="V37" s="2">
        <v>9.999765</v>
      </c>
      <c r="W37" s="2">
        <v>0</v>
      </c>
      <c r="X37" s="2">
        <v>0</v>
      </c>
      <c r="Y37" s="2">
        <v>0</v>
      </c>
      <c r="Z37" s="2">
        <v>2.218683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ht="15" customHeight="1" x14ac:dyDescent="0.3">
      <c r="A38" s="7" t="s">
        <v>122</v>
      </c>
      <c r="B38" s="8">
        <f t="shared" si="1"/>
        <v>622.15751400000011</v>
      </c>
      <c r="C38" s="8"/>
      <c r="D38" s="2">
        <v>310.07735400000001</v>
      </c>
      <c r="E38" s="2">
        <v>60.278184000000003</v>
      </c>
      <c r="F38" s="2">
        <v>43.819226999999998</v>
      </c>
      <c r="G38" s="2">
        <v>81.338078999999993</v>
      </c>
      <c r="H38" s="2">
        <v>0</v>
      </c>
      <c r="I38" s="2">
        <v>0</v>
      </c>
      <c r="J38" s="2">
        <v>12.694898999999999</v>
      </c>
      <c r="K38" s="2">
        <v>0</v>
      </c>
      <c r="L38" s="2">
        <v>0</v>
      </c>
      <c r="M38" s="2">
        <v>0</v>
      </c>
      <c r="N38" s="2">
        <v>2.4393150000000001</v>
      </c>
      <c r="O38" s="2">
        <v>17.076156000000001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24.434042999999999</v>
      </c>
      <c r="W38" s="2">
        <v>0</v>
      </c>
      <c r="X38" s="2">
        <v>0</v>
      </c>
      <c r="Y38" s="2">
        <v>70.000257000000005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ht="15" customHeight="1" x14ac:dyDescent="0.3">
      <c r="A39" s="7" t="s">
        <v>123</v>
      </c>
      <c r="B39" s="8">
        <f t="shared" si="1"/>
        <v>696.25848299999996</v>
      </c>
      <c r="C39" s="8"/>
      <c r="D39" s="2">
        <v>298.28400299999998</v>
      </c>
      <c r="E39" s="2">
        <v>108.640338</v>
      </c>
      <c r="F39" s="2">
        <v>116.587845</v>
      </c>
      <c r="G39" s="2">
        <v>62.531103000000002</v>
      </c>
      <c r="H39" s="2">
        <v>0</v>
      </c>
      <c r="I39" s="2">
        <v>0</v>
      </c>
      <c r="J39" s="2">
        <v>12.694898999999999</v>
      </c>
      <c r="K39" s="2">
        <v>0</v>
      </c>
      <c r="L39" s="2">
        <v>0</v>
      </c>
      <c r="M39" s="2">
        <v>0</v>
      </c>
      <c r="N39" s="2">
        <v>0</v>
      </c>
      <c r="O39" s="2">
        <v>14.820384000000001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32.358725999999997</v>
      </c>
      <c r="W39" s="2">
        <v>25.679853000000001</v>
      </c>
      <c r="X39" s="2">
        <v>0</v>
      </c>
      <c r="Y39" s="2">
        <v>0</v>
      </c>
      <c r="Z39" s="2">
        <v>4.6618019999999998</v>
      </c>
      <c r="AA39" s="2">
        <v>0</v>
      </c>
      <c r="AB39" s="2">
        <v>0</v>
      </c>
      <c r="AC39" s="2">
        <v>19.99953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ht="15" customHeight="1" x14ac:dyDescent="0.3">
      <c r="A40" s="7" t="s">
        <v>124</v>
      </c>
      <c r="B40" s="8">
        <f t="shared" si="1"/>
        <v>499.29304998000003</v>
      </c>
      <c r="C40" s="8"/>
      <c r="D40" s="2">
        <v>308.80681800000002</v>
      </c>
      <c r="E40" s="2">
        <v>0</v>
      </c>
      <c r="F40" s="2">
        <v>30.23987898</v>
      </c>
      <c r="G40" s="2">
        <v>41.405588999999999</v>
      </c>
      <c r="H40" s="2">
        <v>0</v>
      </c>
      <c r="I40" s="2">
        <v>25.599969000000002</v>
      </c>
      <c r="J40" s="2">
        <v>34.999653000000002</v>
      </c>
      <c r="K40" s="2">
        <v>0</v>
      </c>
      <c r="L40" s="2">
        <v>0</v>
      </c>
      <c r="M40" s="2">
        <v>0</v>
      </c>
      <c r="N40" s="2">
        <v>8.4515370000000001</v>
      </c>
      <c r="O40" s="2">
        <v>24.999887999999999</v>
      </c>
      <c r="P40" s="2">
        <v>0</v>
      </c>
      <c r="Q40" s="2">
        <v>0</v>
      </c>
      <c r="R40" s="2">
        <v>0</v>
      </c>
      <c r="S40" s="2">
        <v>20.289584999999999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4.5001319999999998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ht="15" customHeight="1" x14ac:dyDescent="0.3">
      <c r="A41" s="7" t="s">
        <v>125</v>
      </c>
      <c r="B41" s="8">
        <f t="shared" si="1"/>
        <v>355.76339399999995</v>
      </c>
      <c r="C41" s="8"/>
      <c r="D41" s="2">
        <v>230.13058799999999</v>
      </c>
      <c r="E41" s="2">
        <v>0</v>
      </c>
      <c r="F41" s="2">
        <v>19.99953</v>
      </c>
      <c r="G41" s="2">
        <v>45.234315000000002</v>
      </c>
      <c r="H41" s="2">
        <v>53.780951999999999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6.6180089999999998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ht="15" customHeight="1" x14ac:dyDescent="0.3">
      <c r="A42" s="7" t="s">
        <v>126</v>
      </c>
      <c r="B42" s="8">
        <f t="shared" si="1"/>
        <v>587.3651789999999</v>
      </c>
      <c r="C42" s="8"/>
      <c r="D42" s="2">
        <v>372.05782799999997</v>
      </c>
      <c r="E42" s="2">
        <v>0</v>
      </c>
      <c r="F42" s="2">
        <v>0</v>
      </c>
      <c r="G42" s="2">
        <v>0</v>
      </c>
      <c r="H42" s="2">
        <v>67.171982999999997</v>
      </c>
      <c r="I42" s="2">
        <v>0</v>
      </c>
      <c r="J42" s="2">
        <v>87.695514000000003</v>
      </c>
      <c r="K42" s="2">
        <v>19.528784999999999</v>
      </c>
      <c r="L42" s="2">
        <v>0</v>
      </c>
      <c r="M42" s="2">
        <v>0</v>
      </c>
      <c r="N42" s="2">
        <v>3.2314980000000002</v>
      </c>
      <c r="O42" s="2">
        <v>5.0003580000000003</v>
      </c>
      <c r="P42" s="2">
        <v>0</v>
      </c>
      <c r="Q42" s="2">
        <v>0</v>
      </c>
      <c r="R42" s="2">
        <v>0</v>
      </c>
      <c r="S42" s="2">
        <v>32.679212999999997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ht="15" customHeight="1" x14ac:dyDescent="0.3">
      <c r="A43" s="7" t="s">
        <v>127</v>
      </c>
      <c r="B43" s="8">
        <f t="shared" si="1"/>
        <v>714.93041700000015</v>
      </c>
      <c r="C43" s="8"/>
      <c r="D43" s="2">
        <v>368.305182</v>
      </c>
      <c r="E43" s="2">
        <v>261.00480299999998</v>
      </c>
      <c r="F43" s="2">
        <v>0</v>
      </c>
      <c r="G43" s="2">
        <v>24.920954999999999</v>
      </c>
      <c r="H43" s="2">
        <v>9.999765</v>
      </c>
      <c r="I43" s="2">
        <v>20.277221999999998</v>
      </c>
      <c r="J43" s="2">
        <v>23.422179</v>
      </c>
      <c r="K43" s="2">
        <v>0</v>
      </c>
      <c r="L43" s="2">
        <v>0</v>
      </c>
      <c r="M43" s="2">
        <v>0</v>
      </c>
      <c r="N43" s="2">
        <v>0</v>
      </c>
      <c r="O43" s="2">
        <v>7.000311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ht="15" customHeight="1" x14ac:dyDescent="0.3">
      <c r="A44" s="7" t="s">
        <v>128</v>
      </c>
      <c r="B44" s="8">
        <f t="shared" si="1"/>
        <v>711.47797317000015</v>
      </c>
      <c r="C44" s="8"/>
      <c r="D44" s="2">
        <v>300.46084200000001</v>
      </c>
      <c r="E44" s="2">
        <v>85.724091000000001</v>
      </c>
      <c r="F44" s="2">
        <v>0</v>
      </c>
      <c r="G44" s="2">
        <v>165.16302300000001</v>
      </c>
      <c r="H44" s="2">
        <v>0</v>
      </c>
      <c r="I44" s="2">
        <v>0</v>
      </c>
      <c r="J44" s="2">
        <v>40.601993999999998</v>
      </c>
      <c r="K44" s="2">
        <v>0</v>
      </c>
      <c r="L44" s="2">
        <v>0</v>
      </c>
      <c r="M44" s="2">
        <v>5.0000441699999998</v>
      </c>
      <c r="N44" s="2">
        <v>3.2314980000000002</v>
      </c>
      <c r="O44" s="2">
        <v>0</v>
      </c>
      <c r="P44" s="2">
        <v>6.1558229999999998</v>
      </c>
      <c r="Q44" s="2">
        <v>0</v>
      </c>
      <c r="R44" s="2">
        <v>0</v>
      </c>
      <c r="S44" s="2">
        <v>56.251649999999998</v>
      </c>
      <c r="T44" s="2">
        <v>0</v>
      </c>
      <c r="U44" s="2">
        <v>0</v>
      </c>
      <c r="V44" s="2">
        <v>0</v>
      </c>
      <c r="W44" s="2">
        <v>38.444175000000001</v>
      </c>
      <c r="X44" s="2">
        <v>10.444832999999999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ht="15" customHeight="1" x14ac:dyDescent="0.3">
      <c r="A45" s="7" t="s">
        <v>129</v>
      </c>
      <c r="B45" s="8">
        <f t="shared" si="1"/>
        <v>784.96871400000009</v>
      </c>
      <c r="C45" s="8"/>
      <c r="D45" s="2">
        <v>240.44037900000001</v>
      </c>
      <c r="E45" s="2">
        <v>438.70200599999998</v>
      </c>
      <c r="F45" s="2">
        <v>0</v>
      </c>
      <c r="G45" s="2">
        <v>45.234315000000002</v>
      </c>
      <c r="H45" s="2">
        <v>0</v>
      </c>
      <c r="I45" s="2">
        <v>0</v>
      </c>
      <c r="J45" s="2">
        <v>57.904488000000001</v>
      </c>
      <c r="K45" s="2">
        <v>2.6875260000000001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ht="15" customHeight="1" x14ac:dyDescent="0.3">
      <c r="A46" s="7" t="s">
        <v>130</v>
      </c>
      <c r="B46" s="8">
        <f t="shared" si="1"/>
        <v>1017.1116179999999</v>
      </c>
      <c r="C46" s="8"/>
      <c r="D46" s="2">
        <v>442.30724700000002</v>
      </c>
      <c r="E46" s="2">
        <v>299.14465799999999</v>
      </c>
      <c r="F46" s="2">
        <v>82.955730000000003</v>
      </c>
      <c r="G46" s="2">
        <v>69.892793999999995</v>
      </c>
      <c r="H46" s="2">
        <v>0</v>
      </c>
      <c r="I46" s="2">
        <v>0</v>
      </c>
      <c r="J46" s="2">
        <v>48.462960000000002</v>
      </c>
      <c r="K46" s="2">
        <v>0</v>
      </c>
      <c r="L46" s="2">
        <v>0</v>
      </c>
      <c r="M46" s="2">
        <v>0</v>
      </c>
      <c r="N46" s="2">
        <v>26.924712</v>
      </c>
      <c r="O46" s="2">
        <v>4.4620920000000002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30.000246000000001</v>
      </c>
      <c r="X46" s="2">
        <v>12.961179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ht="15" customHeight="1" x14ac:dyDescent="0.3">
      <c r="A47" s="7" t="s">
        <v>131</v>
      </c>
      <c r="B47" s="8">
        <f t="shared" si="1"/>
        <v>672.52627800000005</v>
      </c>
      <c r="C47" s="8"/>
      <c r="D47" s="2">
        <v>316.96925099999999</v>
      </c>
      <c r="E47" s="2">
        <v>156.966354</v>
      </c>
      <c r="F47" s="2">
        <v>0</v>
      </c>
      <c r="G47" s="2">
        <v>45.234315000000002</v>
      </c>
      <c r="H47" s="2">
        <v>0</v>
      </c>
      <c r="I47" s="2">
        <v>50.342136000000004</v>
      </c>
      <c r="J47" s="2">
        <v>71.467650000000006</v>
      </c>
      <c r="K47" s="2">
        <v>0</v>
      </c>
      <c r="L47" s="2">
        <v>16.381926</v>
      </c>
      <c r="M47" s="2">
        <v>0</v>
      </c>
      <c r="N47" s="2">
        <v>15.164645999999999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ht="15" customHeight="1" x14ac:dyDescent="0.3">
      <c r="A48" s="7" t="s">
        <v>132</v>
      </c>
      <c r="B48" s="8">
        <f t="shared" si="1"/>
        <v>315.27647100000002</v>
      </c>
      <c r="C48" s="8"/>
      <c r="D48" s="2">
        <v>170.46960300000001</v>
      </c>
      <c r="E48" s="2">
        <v>68.834331000000006</v>
      </c>
      <c r="F48" s="2">
        <v>0</v>
      </c>
      <c r="G48" s="2">
        <v>48.890909999999998</v>
      </c>
      <c r="H48" s="2">
        <v>0</v>
      </c>
      <c r="I48" s="2">
        <v>0</v>
      </c>
      <c r="J48" s="2">
        <v>15.000123</v>
      </c>
      <c r="K48" s="2">
        <v>9.5100000000000002E-4</v>
      </c>
      <c r="L48" s="2">
        <v>0</v>
      </c>
      <c r="M48" s="2">
        <v>0</v>
      </c>
      <c r="N48" s="2">
        <v>12.080553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ht="15" customHeight="1" x14ac:dyDescent="0.3">
      <c r="A49" s="7" t="s">
        <v>133</v>
      </c>
      <c r="B49" s="8">
        <f t="shared" si="1"/>
        <v>444.60010799999998</v>
      </c>
      <c r="C49" s="8"/>
      <c r="D49" s="2">
        <v>356.79332699999998</v>
      </c>
      <c r="E49" s="2">
        <v>0</v>
      </c>
      <c r="F49" s="2">
        <v>0</v>
      </c>
      <c r="G49" s="2">
        <v>10.075844999999999</v>
      </c>
      <c r="H49" s="2">
        <v>0</v>
      </c>
      <c r="I49" s="2">
        <v>5.9998589999999998</v>
      </c>
      <c r="J49" s="2">
        <v>0</v>
      </c>
      <c r="K49" s="2">
        <v>0</v>
      </c>
      <c r="L49" s="2">
        <v>0</v>
      </c>
      <c r="M49" s="2">
        <v>19.99953</v>
      </c>
      <c r="N49" s="2">
        <v>7.6574520000000001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14.073848999999999</v>
      </c>
      <c r="W49" s="2">
        <v>30.000246000000001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ht="15" customHeight="1" x14ac:dyDescent="0.3">
      <c r="A50" s="7" t="s">
        <v>134</v>
      </c>
      <c r="B50" s="8">
        <f t="shared" si="1"/>
        <v>533.27420099999995</v>
      </c>
      <c r="C50" s="8"/>
      <c r="D50" s="2">
        <v>210.753963</v>
      </c>
      <c r="E50" s="2">
        <v>86.405957999999998</v>
      </c>
      <c r="F50" s="2">
        <v>123.98187</v>
      </c>
      <c r="G50" s="2">
        <v>98.039541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14.092869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ht="15" customHeight="1" x14ac:dyDescent="0.3">
      <c r="A51" s="7" t="s">
        <v>135</v>
      </c>
      <c r="B51" s="8">
        <f t="shared" si="1"/>
        <v>295.39866899999998</v>
      </c>
      <c r="C51" s="8"/>
      <c r="D51" s="2">
        <v>234.517551</v>
      </c>
      <c r="E51" s="2">
        <v>0</v>
      </c>
      <c r="F51" s="2">
        <v>0</v>
      </c>
      <c r="G51" s="2">
        <v>45.234315000000002</v>
      </c>
      <c r="H51" s="2">
        <v>0</v>
      </c>
      <c r="I51" s="2">
        <v>0</v>
      </c>
      <c r="J51" s="2">
        <v>15.646803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ht="15" customHeight="1" x14ac:dyDescent="0.3">
      <c r="A52" s="7" t="s">
        <v>136</v>
      </c>
      <c r="B52" s="8">
        <f t="shared" si="1"/>
        <v>391.157712</v>
      </c>
      <c r="C52" s="8"/>
      <c r="D52" s="2">
        <v>233.05966799999999</v>
      </c>
      <c r="E52" s="2">
        <v>103.76361</v>
      </c>
      <c r="F52" s="2">
        <v>0</v>
      </c>
      <c r="G52" s="2">
        <v>41.405588999999999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12.928845000000001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ht="15" customHeight="1" x14ac:dyDescent="0.3">
      <c r="A53" s="7" t="s">
        <v>137</v>
      </c>
      <c r="B53" s="8">
        <f t="shared" si="1"/>
        <v>644.24353800000006</v>
      </c>
      <c r="C53" s="8"/>
      <c r="D53" s="2">
        <v>212.295534</v>
      </c>
      <c r="E53" s="2">
        <v>40.000011000000001</v>
      </c>
      <c r="F53" s="2">
        <v>138.27730199999999</v>
      </c>
      <c r="G53" s="2">
        <v>41.423658000000003</v>
      </c>
      <c r="H53" s="2">
        <v>0</v>
      </c>
      <c r="I53" s="2">
        <v>0</v>
      </c>
      <c r="J53" s="2">
        <v>20.801223</v>
      </c>
      <c r="K53" s="2">
        <v>0</v>
      </c>
      <c r="L53" s="2">
        <v>0</v>
      </c>
      <c r="M53" s="2">
        <v>109.999317</v>
      </c>
      <c r="N53" s="2">
        <v>4.3403640000000001</v>
      </c>
      <c r="O53" s="2">
        <v>15.000123</v>
      </c>
      <c r="P53" s="2">
        <v>7.1058719999999997</v>
      </c>
      <c r="Q53" s="2">
        <v>0</v>
      </c>
      <c r="R53" s="2">
        <v>0</v>
      </c>
      <c r="S53" s="2">
        <v>0</v>
      </c>
      <c r="T53" s="2">
        <v>0</v>
      </c>
      <c r="U53" s="2">
        <v>15.000123</v>
      </c>
      <c r="V53" s="2">
        <v>0</v>
      </c>
      <c r="W53" s="2">
        <v>40.000011000000001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ht="15" customHeight="1" x14ac:dyDescent="0.3">
      <c r="A54" s="7" t="s">
        <v>138</v>
      </c>
      <c r="B54" s="8">
        <f t="shared" si="1"/>
        <v>673.11494700000014</v>
      </c>
      <c r="C54" s="8"/>
      <c r="D54" s="2">
        <v>363.30006900000001</v>
      </c>
      <c r="E54" s="2">
        <v>144.99897000000001</v>
      </c>
      <c r="F54" s="2">
        <v>0</v>
      </c>
      <c r="G54" s="2">
        <v>72.904611000000003</v>
      </c>
      <c r="H54" s="2">
        <v>0</v>
      </c>
      <c r="I54" s="2">
        <v>0</v>
      </c>
      <c r="J54" s="2">
        <v>36.471800999999999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8.500038</v>
      </c>
      <c r="Q54" s="2">
        <v>0</v>
      </c>
      <c r="R54" s="2">
        <v>0</v>
      </c>
      <c r="S54" s="2">
        <v>0</v>
      </c>
      <c r="T54" s="2">
        <v>36.939692999999998</v>
      </c>
      <c r="U54" s="2">
        <v>0</v>
      </c>
      <c r="V54" s="2">
        <v>9.999765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ht="15" customHeight="1" x14ac:dyDescent="0.3">
      <c r="A55" s="7" t="s">
        <v>139</v>
      </c>
      <c r="B55" s="8">
        <f t="shared" si="1"/>
        <v>562.89785100000006</v>
      </c>
      <c r="C55" s="8"/>
      <c r="D55" s="2">
        <v>243.19447500000001</v>
      </c>
      <c r="E55" s="2">
        <v>80.000022000000001</v>
      </c>
      <c r="F55" s="2">
        <v>0</v>
      </c>
      <c r="G55" s="2">
        <v>48.008381999999997</v>
      </c>
      <c r="H55" s="2">
        <v>0</v>
      </c>
      <c r="I55" s="2">
        <v>0</v>
      </c>
      <c r="J55" s="2">
        <v>17.354799</v>
      </c>
      <c r="K55" s="2">
        <v>0</v>
      </c>
      <c r="L55" s="2">
        <v>0</v>
      </c>
      <c r="M55" s="2">
        <v>0</v>
      </c>
      <c r="N55" s="2">
        <v>4.3403640000000001</v>
      </c>
      <c r="O55" s="2">
        <v>0</v>
      </c>
      <c r="P55" s="2">
        <v>0</v>
      </c>
      <c r="Q55" s="2">
        <v>150.00027900000001</v>
      </c>
      <c r="R55" s="2">
        <v>0</v>
      </c>
      <c r="S55" s="2">
        <v>0</v>
      </c>
      <c r="T55" s="2">
        <v>9.999765</v>
      </c>
      <c r="U55" s="2">
        <v>9.999765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ht="15" customHeight="1" x14ac:dyDescent="0.3">
      <c r="A56" s="7" t="s">
        <v>140</v>
      </c>
      <c r="B56" s="8">
        <f t="shared" si="1"/>
        <v>868.5045540000001</v>
      </c>
      <c r="C56" s="8"/>
      <c r="D56" s="2">
        <v>402.262539</v>
      </c>
      <c r="E56" s="2">
        <v>169.999809</v>
      </c>
      <c r="F56" s="2">
        <v>40.090356</v>
      </c>
      <c r="G56" s="2">
        <v>87.148689000000005</v>
      </c>
      <c r="H56" s="2">
        <v>0</v>
      </c>
      <c r="I56" s="2">
        <v>31.566542999999999</v>
      </c>
      <c r="J56" s="2">
        <v>0</v>
      </c>
      <c r="K56" s="2">
        <v>26.025065999999999</v>
      </c>
      <c r="L56" s="2">
        <v>11.412000000000001</v>
      </c>
      <c r="M56" s="2">
        <v>0</v>
      </c>
      <c r="N56" s="2">
        <v>0</v>
      </c>
      <c r="O56" s="2">
        <v>0</v>
      </c>
      <c r="P56" s="2">
        <v>0</v>
      </c>
      <c r="Q56" s="2">
        <v>99.999551999999994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ht="15" customHeight="1" x14ac:dyDescent="0.3">
      <c r="A57" s="7" t="s">
        <v>141</v>
      </c>
      <c r="B57" s="8">
        <f t="shared" si="1"/>
        <v>686.89497504000008</v>
      </c>
      <c r="C57" s="8"/>
      <c r="D57" s="2">
        <v>332.57420999999999</v>
      </c>
      <c r="E57" s="2">
        <v>144.999921</v>
      </c>
      <c r="F57" s="2">
        <v>0</v>
      </c>
      <c r="G57" s="2">
        <v>27.378339</v>
      </c>
      <c r="H57" s="2">
        <v>24.999887999999999</v>
      </c>
      <c r="I57" s="2">
        <v>21.024708</v>
      </c>
      <c r="J57" s="2">
        <v>11.723928000000001</v>
      </c>
      <c r="K57" s="2">
        <v>0</v>
      </c>
      <c r="L57" s="2">
        <v>0</v>
      </c>
      <c r="M57" s="2">
        <v>9.999765</v>
      </c>
      <c r="N57" s="2">
        <v>0</v>
      </c>
      <c r="O57" s="2">
        <v>0</v>
      </c>
      <c r="P57" s="2">
        <v>0</v>
      </c>
      <c r="Q57" s="2">
        <v>0</v>
      </c>
      <c r="R57" s="2">
        <v>34.999653000000002</v>
      </c>
      <c r="S57" s="2">
        <v>7.9998120000000004</v>
      </c>
      <c r="T57" s="2">
        <v>62.919149040000001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8.2756019999999992</v>
      </c>
      <c r="AE57" s="2">
        <v>0</v>
      </c>
      <c r="AF57" s="2">
        <v>0</v>
      </c>
      <c r="AG57" s="2">
        <v>0</v>
      </c>
      <c r="AH57" s="2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ht="15" customHeight="1" x14ac:dyDescent="0.3">
      <c r="A58" s="7" t="s">
        <v>142</v>
      </c>
      <c r="B58" s="8">
        <f t="shared" si="1"/>
        <v>491.56048800000002</v>
      </c>
      <c r="C58" s="8"/>
      <c r="D58" s="2">
        <v>305.91387600000002</v>
      </c>
      <c r="E58" s="2">
        <v>94.145195999999999</v>
      </c>
      <c r="F58" s="2">
        <v>0</v>
      </c>
      <c r="G58" s="2">
        <v>71.423903999999993</v>
      </c>
      <c r="H58" s="2">
        <v>0</v>
      </c>
      <c r="I58" s="2">
        <v>0</v>
      </c>
      <c r="J58" s="2">
        <v>7.8942509999999997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12.183261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ht="15" customHeight="1" x14ac:dyDescent="0.3">
      <c r="A59" s="7" t="s">
        <v>143</v>
      </c>
      <c r="B59" s="8">
        <f t="shared" si="1"/>
        <v>943.5536699999999</v>
      </c>
      <c r="C59" s="8"/>
      <c r="D59" s="2">
        <v>440.240724</v>
      </c>
      <c r="E59" s="2">
        <v>335.383464</v>
      </c>
      <c r="F59" s="2">
        <v>0</v>
      </c>
      <c r="G59" s="2">
        <v>26.983674000000001</v>
      </c>
      <c r="H59" s="2">
        <v>0</v>
      </c>
      <c r="I59" s="2">
        <v>0</v>
      </c>
      <c r="J59" s="2">
        <v>20.990472</v>
      </c>
      <c r="K59" s="2">
        <v>0</v>
      </c>
      <c r="L59" s="2">
        <v>8.0892060000000008</v>
      </c>
      <c r="M59" s="2">
        <v>72.635478000000006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39.230651999999999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>
        <v>0</v>
      </c>
      <c r="AJ59">
        <v>0</v>
      </c>
      <c r="AK59">
        <v>0</v>
      </c>
      <c r="AL59">
        <v>0</v>
      </c>
      <c r="AM59">
        <v>15.000123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ht="15" customHeight="1" x14ac:dyDescent="0.3">
      <c r="A60" s="7" t="s">
        <v>144</v>
      </c>
      <c r="B60" s="8">
        <f t="shared" si="1"/>
        <v>582.94493100000011</v>
      </c>
      <c r="C60" s="8"/>
      <c r="D60" s="2">
        <v>286.75217700000002</v>
      </c>
      <c r="E60" s="2">
        <v>49.999775999999997</v>
      </c>
      <c r="F60" s="2">
        <v>0</v>
      </c>
      <c r="G60" s="2">
        <v>62.486406000000002</v>
      </c>
      <c r="H60" s="2">
        <v>0</v>
      </c>
      <c r="I60" s="2">
        <v>41.496884999999999</v>
      </c>
      <c r="J60" s="2">
        <v>94.404819000000003</v>
      </c>
      <c r="K60" s="2">
        <v>27.717846000000002</v>
      </c>
      <c r="L60" s="2">
        <v>0</v>
      </c>
      <c r="M60" s="2">
        <v>0</v>
      </c>
      <c r="N60" s="2">
        <v>0</v>
      </c>
      <c r="O60" s="2">
        <v>0</v>
      </c>
      <c r="P60" s="2">
        <v>6.0131730000000001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14.073848999999999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ht="15" customHeight="1" x14ac:dyDescent="0.3">
      <c r="A61" s="7" t="s">
        <v>145</v>
      </c>
      <c r="B61" s="8">
        <f t="shared" si="1"/>
        <v>516.07631700000002</v>
      </c>
      <c r="C61" s="8"/>
      <c r="D61" s="2">
        <v>219.53644800000001</v>
      </c>
      <c r="E61" s="2">
        <v>89.999786999999998</v>
      </c>
      <c r="F61" s="2">
        <v>38.224494</v>
      </c>
      <c r="G61" s="2">
        <v>46.541939999999997</v>
      </c>
      <c r="H61" s="2">
        <v>0</v>
      </c>
      <c r="I61" s="2">
        <v>0</v>
      </c>
      <c r="J61" s="2">
        <v>37.175541000000003</v>
      </c>
      <c r="K61" s="2">
        <v>35.680568999999998</v>
      </c>
      <c r="L61" s="2">
        <v>0</v>
      </c>
      <c r="M61" s="2">
        <v>20.175464999999999</v>
      </c>
      <c r="N61" s="2">
        <v>3.5091899999999998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25.232883000000001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ht="15" customHeight="1" x14ac:dyDescent="0.3">
      <c r="A62" s="7" t="s">
        <v>146</v>
      </c>
      <c r="B62" s="8">
        <f t="shared" si="1"/>
        <v>334.844247</v>
      </c>
      <c r="C62" s="8"/>
      <c r="D62" s="2">
        <v>123.12311699999999</v>
      </c>
      <c r="E62" s="2">
        <v>30.000246000000001</v>
      </c>
      <c r="F62" s="2">
        <v>0</v>
      </c>
      <c r="G62" s="2">
        <v>0</v>
      </c>
      <c r="H62" s="2">
        <v>53.780951999999999</v>
      </c>
      <c r="I62" s="2">
        <v>44.999417999999999</v>
      </c>
      <c r="J62" s="2">
        <v>12.860372999999999</v>
      </c>
      <c r="K62" s="2">
        <v>60.904893000000001</v>
      </c>
      <c r="L62" s="2">
        <v>0</v>
      </c>
      <c r="M62" s="2">
        <v>9.1752479999999998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7"/>
  <sheetViews>
    <sheetView zoomScaleNormal="100" workbookViewId="0">
      <selection activeCell="S13" sqref="S13"/>
    </sheetView>
  </sheetViews>
  <sheetFormatPr defaultColWidth="7.8984375" defaultRowHeight="13.2" x14ac:dyDescent="0.25"/>
  <cols>
    <col min="1" max="1" width="7.8984375" style="9"/>
    <col min="2" max="2" width="17.796875" style="9" customWidth="1"/>
    <col min="3" max="16" width="18.69921875" style="9" customWidth="1"/>
    <col min="17" max="18" width="18.8984375" style="9" customWidth="1"/>
    <col min="19" max="257" width="7.8984375" style="9"/>
    <col min="258" max="258" width="17.796875" style="9" customWidth="1"/>
    <col min="259" max="272" width="18.69921875" style="9" customWidth="1"/>
    <col min="273" max="274" width="18.8984375" style="9" customWidth="1"/>
    <col min="275" max="513" width="7.8984375" style="9"/>
    <col min="514" max="514" width="17.796875" style="9" customWidth="1"/>
    <col min="515" max="528" width="18.69921875" style="9" customWidth="1"/>
    <col min="529" max="530" width="18.8984375" style="9" customWidth="1"/>
    <col min="531" max="769" width="7.8984375" style="9"/>
    <col min="770" max="770" width="17.796875" style="9" customWidth="1"/>
    <col min="771" max="784" width="18.69921875" style="9" customWidth="1"/>
    <col min="785" max="786" width="18.8984375" style="9" customWidth="1"/>
    <col min="787" max="1025" width="7.8984375" style="9"/>
    <col min="1026" max="1026" width="17.796875" style="9" customWidth="1"/>
    <col min="1027" max="1040" width="18.69921875" style="9" customWidth="1"/>
    <col min="1041" max="1042" width="18.8984375" style="9" customWidth="1"/>
    <col min="1043" max="1281" width="7.8984375" style="9"/>
    <col min="1282" max="1282" width="17.796875" style="9" customWidth="1"/>
    <col min="1283" max="1296" width="18.69921875" style="9" customWidth="1"/>
    <col min="1297" max="1298" width="18.8984375" style="9" customWidth="1"/>
    <col min="1299" max="1537" width="7.8984375" style="9"/>
    <col min="1538" max="1538" width="17.796875" style="9" customWidth="1"/>
    <col min="1539" max="1552" width="18.69921875" style="9" customWidth="1"/>
    <col min="1553" max="1554" width="18.8984375" style="9" customWidth="1"/>
    <col min="1555" max="1793" width="7.8984375" style="9"/>
    <col min="1794" max="1794" width="17.796875" style="9" customWidth="1"/>
    <col min="1795" max="1808" width="18.69921875" style="9" customWidth="1"/>
    <col min="1809" max="1810" width="18.8984375" style="9" customWidth="1"/>
    <col min="1811" max="2049" width="7.8984375" style="9"/>
    <col min="2050" max="2050" width="17.796875" style="9" customWidth="1"/>
    <col min="2051" max="2064" width="18.69921875" style="9" customWidth="1"/>
    <col min="2065" max="2066" width="18.8984375" style="9" customWidth="1"/>
    <col min="2067" max="2305" width="7.8984375" style="9"/>
    <col min="2306" max="2306" width="17.796875" style="9" customWidth="1"/>
    <col min="2307" max="2320" width="18.69921875" style="9" customWidth="1"/>
    <col min="2321" max="2322" width="18.8984375" style="9" customWidth="1"/>
    <col min="2323" max="2561" width="7.8984375" style="9"/>
    <col min="2562" max="2562" width="17.796875" style="9" customWidth="1"/>
    <col min="2563" max="2576" width="18.69921875" style="9" customWidth="1"/>
    <col min="2577" max="2578" width="18.8984375" style="9" customWidth="1"/>
    <col min="2579" max="2817" width="7.8984375" style="9"/>
    <col min="2818" max="2818" width="17.796875" style="9" customWidth="1"/>
    <col min="2819" max="2832" width="18.69921875" style="9" customWidth="1"/>
    <col min="2833" max="2834" width="18.8984375" style="9" customWidth="1"/>
    <col min="2835" max="3073" width="7.8984375" style="9"/>
    <col min="3074" max="3074" width="17.796875" style="9" customWidth="1"/>
    <col min="3075" max="3088" width="18.69921875" style="9" customWidth="1"/>
    <col min="3089" max="3090" width="18.8984375" style="9" customWidth="1"/>
    <col min="3091" max="3329" width="7.8984375" style="9"/>
    <col min="3330" max="3330" width="17.796875" style="9" customWidth="1"/>
    <col min="3331" max="3344" width="18.69921875" style="9" customWidth="1"/>
    <col min="3345" max="3346" width="18.8984375" style="9" customWidth="1"/>
    <col min="3347" max="3585" width="7.8984375" style="9"/>
    <col min="3586" max="3586" width="17.796875" style="9" customWidth="1"/>
    <col min="3587" max="3600" width="18.69921875" style="9" customWidth="1"/>
    <col min="3601" max="3602" width="18.8984375" style="9" customWidth="1"/>
    <col min="3603" max="3841" width="7.8984375" style="9"/>
    <col min="3842" max="3842" width="17.796875" style="9" customWidth="1"/>
    <col min="3843" max="3856" width="18.69921875" style="9" customWidth="1"/>
    <col min="3857" max="3858" width="18.8984375" style="9" customWidth="1"/>
    <col min="3859" max="4097" width="7.8984375" style="9"/>
    <col min="4098" max="4098" width="17.796875" style="9" customWidth="1"/>
    <col min="4099" max="4112" width="18.69921875" style="9" customWidth="1"/>
    <col min="4113" max="4114" width="18.8984375" style="9" customWidth="1"/>
    <col min="4115" max="4353" width="7.8984375" style="9"/>
    <col min="4354" max="4354" width="17.796875" style="9" customWidth="1"/>
    <col min="4355" max="4368" width="18.69921875" style="9" customWidth="1"/>
    <col min="4369" max="4370" width="18.8984375" style="9" customWidth="1"/>
    <col min="4371" max="4609" width="7.8984375" style="9"/>
    <col min="4610" max="4610" width="17.796875" style="9" customWidth="1"/>
    <col min="4611" max="4624" width="18.69921875" style="9" customWidth="1"/>
    <col min="4625" max="4626" width="18.8984375" style="9" customWidth="1"/>
    <col min="4627" max="4865" width="7.8984375" style="9"/>
    <col min="4866" max="4866" width="17.796875" style="9" customWidth="1"/>
    <col min="4867" max="4880" width="18.69921875" style="9" customWidth="1"/>
    <col min="4881" max="4882" width="18.8984375" style="9" customWidth="1"/>
    <col min="4883" max="5121" width="7.8984375" style="9"/>
    <col min="5122" max="5122" width="17.796875" style="9" customWidth="1"/>
    <col min="5123" max="5136" width="18.69921875" style="9" customWidth="1"/>
    <col min="5137" max="5138" width="18.8984375" style="9" customWidth="1"/>
    <col min="5139" max="5377" width="7.8984375" style="9"/>
    <col min="5378" max="5378" width="17.796875" style="9" customWidth="1"/>
    <col min="5379" max="5392" width="18.69921875" style="9" customWidth="1"/>
    <col min="5393" max="5394" width="18.8984375" style="9" customWidth="1"/>
    <col min="5395" max="5633" width="7.8984375" style="9"/>
    <col min="5634" max="5634" width="17.796875" style="9" customWidth="1"/>
    <col min="5635" max="5648" width="18.69921875" style="9" customWidth="1"/>
    <col min="5649" max="5650" width="18.8984375" style="9" customWidth="1"/>
    <col min="5651" max="5889" width="7.8984375" style="9"/>
    <col min="5890" max="5890" width="17.796875" style="9" customWidth="1"/>
    <col min="5891" max="5904" width="18.69921875" style="9" customWidth="1"/>
    <col min="5905" max="5906" width="18.8984375" style="9" customWidth="1"/>
    <col min="5907" max="6145" width="7.8984375" style="9"/>
    <col min="6146" max="6146" width="17.796875" style="9" customWidth="1"/>
    <col min="6147" max="6160" width="18.69921875" style="9" customWidth="1"/>
    <col min="6161" max="6162" width="18.8984375" style="9" customWidth="1"/>
    <col min="6163" max="6401" width="7.8984375" style="9"/>
    <col min="6402" max="6402" width="17.796875" style="9" customWidth="1"/>
    <col min="6403" max="6416" width="18.69921875" style="9" customWidth="1"/>
    <col min="6417" max="6418" width="18.8984375" style="9" customWidth="1"/>
    <col min="6419" max="6657" width="7.8984375" style="9"/>
    <col min="6658" max="6658" width="17.796875" style="9" customWidth="1"/>
    <col min="6659" max="6672" width="18.69921875" style="9" customWidth="1"/>
    <col min="6673" max="6674" width="18.8984375" style="9" customWidth="1"/>
    <col min="6675" max="6913" width="7.8984375" style="9"/>
    <col min="6914" max="6914" width="17.796875" style="9" customWidth="1"/>
    <col min="6915" max="6928" width="18.69921875" style="9" customWidth="1"/>
    <col min="6929" max="6930" width="18.8984375" style="9" customWidth="1"/>
    <col min="6931" max="7169" width="7.8984375" style="9"/>
    <col min="7170" max="7170" width="17.796875" style="9" customWidth="1"/>
    <col min="7171" max="7184" width="18.69921875" style="9" customWidth="1"/>
    <col min="7185" max="7186" width="18.8984375" style="9" customWidth="1"/>
    <col min="7187" max="7425" width="7.8984375" style="9"/>
    <col min="7426" max="7426" width="17.796875" style="9" customWidth="1"/>
    <col min="7427" max="7440" width="18.69921875" style="9" customWidth="1"/>
    <col min="7441" max="7442" width="18.8984375" style="9" customWidth="1"/>
    <col min="7443" max="7681" width="7.8984375" style="9"/>
    <col min="7682" max="7682" width="17.796875" style="9" customWidth="1"/>
    <col min="7683" max="7696" width="18.69921875" style="9" customWidth="1"/>
    <col min="7697" max="7698" width="18.8984375" style="9" customWidth="1"/>
    <col min="7699" max="7937" width="7.8984375" style="9"/>
    <col min="7938" max="7938" width="17.796875" style="9" customWidth="1"/>
    <col min="7939" max="7952" width="18.69921875" style="9" customWidth="1"/>
    <col min="7953" max="7954" width="18.8984375" style="9" customWidth="1"/>
    <col min="7955" max="8193" width="7.8984375" style="9"/>
    <col min="8194" max="8194" width="17.796875" style="9" customWidth="1"/>
    <col min="8195" max="8208" width="18.69921875" style="9" customWidth="1"/>
    <col min="8209" max="8210" width="18.8984375" style="9" customWidth="1"/>
    <col min="8211" max="8449" width="7.8984375" style="9"/>
    <col min="8450" max="8450" width="17.796875" style="9" customWidth="1"/>
    <col min="8451" max="8464" width="18.69921875" style="9" customWidth="1"/>
    <col min="8465" max="8466" width="18.8984375" style="9" customWidth="1"/>
    <col min="8467" max="8705" width="7.8984375" style="9"/>
    <col min="8706" max="8706" width="17.796875" style="9" customWidth="1"/>
    <col min="8707" max="8720" width="18.69921875" style="9" customWidth="1"/>
    <col min="8721" max="8722" width="18.8984375" style="9" customWidth="1"/>
    <col min="8723" max="8961" width="7.8984375" style="9"/>
    <col min="8962" max="8962" width="17.796875" style="9" customWidth="1"/>
    <col min="8963" max="8976" width="18.69921875" style="9" customWidth="1"/>
    <col min="8977" max="8978" width="18.8984375" style="9" customWidth="1"/>
    <col min="8979" max="9217" width="7.8984375" style="9"/>
    <col min="9218" max="9218" width="17.796875" style="9" customWidth="1"/>
    <col min="9219" max="9232" width="18.69921875" style="9" customWidth="1"/>
    <col min="9233" max="9234" width="18.8984375" style="9" customWidth="1"/>
    <col min="9235" max="9473" width="7.8984375" style="9"/>
    <col min="9474" max="9474" width="17.796875" style="9" customWidth="1"/>
    <col min="9475" max="9488" width="18.69921875" style="9" customWidth="1"/>
    <col min="9489" max="9490" width="18.8984375" style="9" customWidth="1"/>
    <col min="9491" max="9729" width="7.8984375" style="9"/>
    <col min="9730" max="9730" width="17.796875" style="9" customWidth="1"/>
    <col min="9731" max="9744" width="18.69921875" style="9" customWidth="1"/>
    <col min="9745" max="9746" width="18.8984375" style="9" customWidth="1"/>
    <col min="9747" max="9985" width="7.8984375" style="9"/>
    <col min="9986" max="9986" width="17.796875" style="9" customWidth="1"/>
    <col min="9987" max="10000" width="18.69921875" style="9" customWidth="1"/>
    <col min="10001" max="10002" width="18.8984375" style="9" customWidth="1"/>
    <col min="10003" max="10241" width="7.8984375" style="9"/>
    <col min="10242" max="10242" width="17.796875" style="9" customWidth="1"/>
    <col min="10243" max="10256" width="18.69921875" style="9" customWidth="1"/>
    <col min="10257" max="10258" width="18.8984375" style="9" customWidth="1"/>
    <col min="10259" max="10497" width="7.8984375" style="9"/>
    <col min="10498" max="10498" width="17.796875" style="9" customWidth="1"/>
    <col min="10499" max="10512" width="18.69921875" style="9" customWidth="1"/>
    <col min="10513" max="10514" width="18.8984375" style="9" customWidth="1"/>
    <col min="10515" max="10753" width="7.8984375" style="9"/>
    <col min="10754" max="10754" width="17.796875" style="9" customWidth="1"/>
    <col min="10755" max="10768" width="18.69921875" style="9" customWidth="1"/>
    <col min="10769" max="10770" width="18.8984375" style="9" customWidth="1"/>
    <col min="10771" max="11009" width="7.8984375" style="9"/>
    <col min="11010" max="11010" width="17.796875" style="9" customWidth="1"/>
    <col min="11011" max="11024" width="18.69921875" style="9" customWidth="1"/>
    <col min="11025" max="11026" width="18.8984375" style="9" customWidth="1"/>
    <col min="11027" max="11265" width="7.8984375" style="9"/>
    <col min="11266" max="11266" width="17.796875" style="9" customWidth="1"/>
    <col min="11267" max="11280" width="18.69921875" style="9" customWidth="1"/>
    <col min="11281" max="11282" width="18.8984375" style="9" customWidth="1"/>
    <col min="11283" max="11521" width="7.8984375" style="9"/>
    <col min="11522" max="11522" width="17.796875" style="9" customWidth="1"/>
    <col min="11523" max="11536" width="18.69921875" style="9" customWidth="1"/>
    <col min="11537" max="11538" width="18.8984375" style="9" customWidth="1"/>
    <col min="11539" max="11777" width="7.8984375" style="9"/>
    <col min="11778" max="11778" width="17.796875" style="9" customWidth="1"/>
    <col min="11779" max="11792" width="18.69921875" style="9" customWidth="1"/>
    <col min="11793" max="11794" width="18.8984375" style="9" customWidth="1"/>
    <col min="11795" max="12033" width="7.8984375" style="9"/>
    <col min="12034" max="12034" width="17.796875" style="9" customWidth="1"/>
    <col min="12035" max="12048" width="18.69921875" style="9" customWidth="1"/>
    <col min="12049" max="12050" width="18.8984375" style="9" customWidth="1"/>
    <col min="12051" max="12289" width="7.8984375" style="9"/>
    <col min="12290" max="12290" width="17.796875" style="9" customWidth="1"/>
    <col min="12291" max="12304" width="18.69921875" style="9" customWidth="1"/>
    <col min="12305" max="12306" width="18.8984375" style="9" customWidth="1"/>
    <col min="12307" max="12545" width="7.8984375" style="9"/>
    <col min="12546" max="12546" width="17.796875" style="9" customWidth="1"/>
    <col min="12547" max="12560" width="18.69921875" style="9" customWidth="1"/>
    <col min="12561" max="12562" width="18.8984375" style="9" customWidth="1"/>
    <col min="12563" max="12801" width="7.8984375" style="9"/>
    <col min="12802" max="12802" width="17.796875" style="9" customWidth="1"/>
    <col min="12803" max="12816" width="18.69921875" style="9" customWidth="1"/>
    <col min="12817" max="12818" width="18.8984375" style="9" customWidth="1"/>
    <col min="12819" max="13057" width="7.8984375" style="9"/>
    <col min="13058" max="13058" width="17.796875" style="9" customWidth="1"/>
    <col min="13059" max="13072" width="18.69921875" style="9" customWidth="1"/>
    <col min="13073" max="13074" width="18.8984375" style="9" customWidth="1"/>
    <col min="13075" max="13313" width="7.8984375" style="9"/>
    <col min="13314" max="13314" width="17.796875" style="9" customWidth="1"/>
    <col min="13315" max="13328" width="18.69921875" style="9" customWidth="1"/>
    <col min="13329" max="13330" width="18.8984375" style="9" customWidth="1"/>
    <col min="13331" max="13569" width="7.8984375" style="9"/>
    <col min="13570" max="13570" width="17.796875" style="9" customWidth="1"/>
    <col min="13571" max="13584" width="18.69921875" style="9" customWidth="1"/>
    <col min="13585" max="13586" width="18.8984375" style="9" customWidth="1"/>
    <col min="13587" max="13825" width="7.8984375" style="9"/>
    <col min="13826" max="13826" width="17.796875" style="9" customWidth="1"/>
    <col min="13827" max="13840" width="18.69921875" style="9" customWidth="1"/>
    <col min="13841" max="13842" width="18.8984375" style="9" customWidth="1"/>
    <col min="13843" max="14081" width="7.8984375" style="9"/>
    <col min="14082" max="14082" width="17.796875" style="9" customWidth="1"/>
    <col min="14083" max="14096" width="18.69921875" style="9" customWidth="1"/>
    <col min="14097" max="14098" width="18.8984375" style="9" customWidth="1"/>
    <col min="14099" max="14337" width="7.8984375" style="9"/>
    <col min="14338" max="14338" width="17.796875" style="9" customWidth="1"/>
    <col min="14339" max="14352" width="18.69921875" style="9" customWidth="1"/>
    <col min="14353" max="14354" width="18.8984375" style="9" customWidth="1"/>
    <col min="14355" max="14593" width="7.8984375" style="9"/>
    <col min="14594" max="14594" width="17.796875" style="9" customWidth="1"/>
    <col min="14595" max="14608" width="18.69921875" style="9" customWidth="1"/>
    <col min="14609" max="14610" width="18.8984375" style="9" customWidth="1"/>
    <col min="14611" max="14849" width="7.8984375" style="9"/>
    <col min="14850" max="14850" width="17.796875" style="9" customWidth="1"/>
    <col min="14851" max="14864" width="18.69921875" style="9" customWidth="1"/>
    <col min="14865" max="14866" width="18.8984375" style="9" customWidth="1"/>
    <col min="14867" max="15105" width="7.8984375" style="9"/>
    <col min="15106" max="15106" width="17.796875" style="9" customWidth="1"/>
    <col min="15107" max="15120" width="18.69921875" style="9" customWidth="1"/>
    <col min="15121" max="15122" width="18.8984375" style="9" customWidth="1"/>
    <col min="15123" max="15361" width="7.8984375" style="9"/>
    <col min="15362" max="15362" width="17.796875" style="9" customWidth="1"/>
    <col min="15363" max="15376" width="18.69921875" style="9" customWidth="1"/>
    <col min="15377" max="15378" width="18.8984375" style="9" customWidth="1"/>
    <col min="15379" max="15617" width="7.8984375" style="9"/>
    <col min="15618" max="15618" width="17.796875" style="9" customWidth="1"/>
    <col min="15619" max="15632" width="18.69921875" style="9" customWidth="1"/>
    <col min="15633" max="15634" width="18.8984375" style="9" customWidth="1"/>
    <col min="15635" max="15873" width="7.8984375" style="9"/>
    <col min="15874" max="15874" width="17.796875" style="9" customWidth="1"/>
    <col min="15875" max="15888" width="18.69921875" style="9" customWidth="1"/>
    <col min="15889" max="15890" width="18.8984375" style="9" customWidth="1"/>
    <col min="15891" max="16129" width="7.8984375" style="9"/>
    <col min="16130" max="16130" width="17.796875" style="9" customWidth="1"/>
    <col min="16131" max="16144" width="18.69921875" style="9" customWidth="1"/>
    <col min="16145" max="16146" width="18.8984375" style="9" customWidth="1"/>
    <col min="16147" max="16384" width="7.8984375" style="9"/>
  </cols>
  <sheetData>
    <row r="1" spans="1:19" ht="15" customHeight="1" x14ac:dyDescent="0.3">
      <c r="A1" s="10" t="s">
        <v>169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9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9" ht="15" customHeight="1" x14ac:dyDescent="0.3">
      <c r="A3" s="12"/>
      <c r="B3" s="13" t="s">
        <v>30</v>
      </c>
      <c r="C3" s="13" t="s">
        <v>170</v>
      </c>
      <c r="D3" s="13" t="s">
        <v>171</v>
      </c>
      <c r="E3" s="13" t="s">
        <v>172</v>
      </c>
      <c r="F3" s="13" t="s">
        <v>173</v>
      </c>
      <c r="G3" s="13" t="s">
        <v>174</v>
      </c>
      <c r="H3" s="13" t="s">
        <v>175</v>
      </c>
      <c r="I3" s="13" t="s">
        <v>176</v>
      </c>
      <c r="J3" s="13" t="s">
        <v>177</v>
      </c>
      <c r="K3" s="13" t="s">
        <v>178</v>
      </c>
      <c r="L3" s="13" t="s">
        <v>179</v>
      </c>
      <c r="M3" s="13" t="s">
        <v>180</v>
      </c>
      <c r="N3" s="13" t="s">
        <v>181</v>
      </c>
      <c r="O3" s="14" t="s">
        <v>182</v>
      </c>
      <c r="P3" s="13" t="s">
        <v>183</v>
      </c>
      <c r="Q3" s="13" t="s">
        <v>184</v>
      </c>
      <c r="R3" s="14" t="s">
        <v>185</v>
      </c>
    </row>
    <row r="4" spans="1:19" ht="1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9" ht="15" customHeight="1" x14ac:dyDescent="0.3">
      <c r="A5" s="15">
        <v>2013</v>
      </c>
      <c r="B5" s="16">
        <v>42682.18</v>
      </c>
      <c r="C5" s="16">
        <v>2.0299999999999998</v>
      </c>
      <c r="D5" s="16">
        <v>0</v>
      </c>
      <c r="E5" s="16">
        <v>1182.93</v>
      </c>
      <c r="F5" s="16">
        <v>0</v>
      </c>
      <c r="G5" s="16">
        <v>190.9</v>
      </c>
      <c r="H5" s="16">
        <v>0</v>
      </c>
      <c r="I5" s="16">
        <v>40748.379999999997</v>
      </c>
      <c r="J5" s="16">
        <v>0</v>
      </c>
      <c r="K5" s="16">
        <v>557.94000000000005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</row>
    <row r="6" spans="1:19" ht="15" customHeight="1" x14ac:dyDescent="0.3">
      <c r="A6" s="15">
        <v>2014</v>
      </c>
      <c r="B6" s="16">
        <v>42416.75</v>
      </c>
      <c r="C6" s="16">
        <v>1.9</v>
      </c>
      <c r="D6" s="16">
        <v>0</v>
      </c>
      <c r="E6" s="16">
        <v>1022.3</v>
      </c>
      <c r="F6" s="16">
        <v>0</v>
      </c>
      <c r="G6" s="16">
        <v>287.94</v>
      </c>
      <c r="H6" s="16">
        <v>0</v>
      </c>
      <c r="I6" s="16">
        <v>40685.49</v>
      </c>
      <c r="J6" s="16">
        <v>0</v>
      </c>
      <c r="K6" s="16">
        <v>419.12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</row>
    <row r="7" spans="1:19" ht="15" customHeight="1" x14ac:dyDescent="0.3">
      <c r="A7" s="15">
        <v>2015</v>
      </c>
      <c r="B7" s="16">
        <v>45155.54</v>
      </c>
      <c r="C7" s="16">
        <v>1.51</v>
      </c>
      <c r="D7" s="16">
        <v>0</v>
      </c>
      <c r="E7" s="16">
        <v>936.17</v>
      </c>
      <c r="F7" s="16">
        <v>0</v>
      </c>
      <c r="G7" s="16">
        <v>784.62</v>
      </c>
      <c r="H7" s="16">
        <v>0</v>
      </c>
      <c r="I7" s="16">
        <v>43409.04</v>
      </c>
      <c r="J7" s="16">
        <v>0</v>
      </c>
      <c r="K7" s="16">
        <v>24.2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</row>
    <row r="8" spans="1:19" ht="15" customHeight="1" x14ac:dyDescent="0.3">
      <c r="A8" s="15">
        <v>2016</v>
      </c>
      <c r="B8" s="16">
        <v>48614.5</v>
      </c>
      <c r="C8" s="16">
        <v>0.46</v>
      </c>
      <c r="D8" s="16">
        <v>0</v>
      </c>
      <c r="E8" s="16">
        <v>853.44</v>
      </c>
      <c r="F8" s="16">
        <v>0</v>
      </c>
      <c r="G8" s="16">
        <v>1136.74</v>
      </c>
      <c r="H8" s="16">
        <v>0</v>
      </c>
      <c r="I8" s="16">
        <v>46496.22</v>
      </c>
      <c r="J8" s="16">
        <v>0</v>
      </c>
      <c r="K8" s="16">
        <v>127.63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</row>
    <row r="9" spans="1:19" ht="15" customHeight="1" x14ac:dyDescent="0.3">
      <c r="A9" s="15">
        <v>2017</v>
      </c>
      <c r="B9" s="16">
        <v>50637.21</v>
      </c>
      <c r="C9" s="16">
        <v>7.0000000000000007E-2</v>
      </c>
      <c r="D9" s="16">
        <v>0</v>
      </c>
      <c r="E9" s="16">
        <v>736.09</v>
      </c>
      <c r="F9" s="16">
        <v>0</v>
      </c>
      <c r="G9" s="16">
        <v>1285.08</v>
      </c>
      <c r="H9" s="16">
        <v>0</v>
      </c>
      <c r="I9" s="16">
        <v>48469.47</v>
      </c>
      <c r="J9" s="16">
        <v>0</v>
      </c>
      <c r="K9" s="16">
        <v>145.69</v>
      </c>
      <c r="L9" s="16">
        <v>0</v>
      </c>
      <c r="M9" s="16">
        <v>0</v>
      </c>
      <c r="N9" s="16">
        <v>0</v>
      </c>
      <c r="O9" s="16">
        <v>0</v>
      </c>
      <c r="P9" s="16">
        <v>0.81</v>
      </c>
      <c r="Q9" s="16">
        <v>0</v>
      </c>
      <c r="R9" s="16">
        <v>0</v>
      </c>
    </row>
    <row r="10" spans="1:19" ht="15" customHeight="1" x14ac:dyDescent="0.3">
      <c r="A10" s="15">
        <v>2018</v>
      </c>
      <c r="B10" s="16">
        <v>49798.75</v>
      </c>
      <c r="C10" s="16">
        <v>0</v>
      </c>
      <c r="D10" s="16">
        <v>0</v>
      </c>
      <c r="E10" s="16">
        <v>746.83</v>
      </c>
      <c r="F10" s="16">
        <v>0</v>
      </c>
      <c r="G10" s="16">
        <v>1538.99</v>
      </c>
      <c r="H10" s="16">
        <v>0</v>
      </c>
      <c r="I10" s="16">
        <v>47180.959999999999</v>
      </c>
      <c r="J10" s="16">
        <v>0</v>
      </c>
      <c r="K10" s="16">
        <v>331.98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</row>
    <row r="11" spans="1:19" ht="15" customHeight="1" x14ac:dyDescent="0.3">
      <c r="A11" s="15">
        <v>2019</v>
      </c>
      <c r="B11" s="16">
        <v>47464.43</v>
      </c>
      <c r="C11" s="16">
        <v>0.76</v>
      </c>
      <c r="D11" s="16">
        <v>0</v>
      </c>
      <c r="E11" s="16">
        <v>792.04</v>
      </c>
      <c r="F11" s="16">
        <v>0</v>
      </c>
      <c r="G11" s="16">
        <v>3089.88</v>
      </c>
      <c r="H11" s="16">
        <v>0</v>
      </c>
      <c r="I11" s="16">
        <v>38101.72</v>
      </c>
      <c r="J11" s="16">
        <v>0</v>
      </c>
      <c r="K11" s="16">
        <v>5479.12</v>
      </c>
      <c r="L11" s="16">
        <v>0</v>
      </c>
      <c r="M11" s="16">
        <v>0</v>
      </c>
      <c r="N11" s="16">
        <v>0</v>
      </c>
      <c r="O11" s="16">
        <v>0</v>
      </c>
      <c r="P11" s="16">
        <v>0.9</v>
      </c>
      <c r="Q11" s="16">
        <v>0</v>
      </c>
      <c r="R11" s="16">
        <v>0</v>
      </c>
    </row>
    <row r="12" spans="1:19" ht="15" customHeight="1" x14ac:dyDescent="0.3">
      <c r="A12" s="15">
        <v>2020</v>
      </c>
      <c r="B12" s="16">
        <v>49833.03</v>
      </c>
      <c r="C12" s="16">
        <v>0.2</v>
      </c>
      <c r="D12" s="16">
        <v>0</v>
      </c>
      <c r="E12" s="16">
        <v>632.95000000000005</v>
      </c>
      <c r="F12" s="16">
        <v>0</v>
      </c>
      <c r="G12" s="16">
        <v>4062.17</v>
      </c>
      <c r="H12" s="16">
        <v>0</v>
      </c>
      <c r="I12" s="16">
        <v>10653.29</v>
      </c>
      <c r="J12" s="16">
        <v>0</v>
      </c>
      <c r="K12" s="16">
        <v>34083.660000000003</v>
      </c>
      <c r="L12" s="16">
        <v>0</v>
      </c>
      <c r="M12" s="16">
        <v>400.77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</row>
    <row r="13" spans="1:19" ht="15" customHeight="1" x14ac:dyDescent="0.3">
      <c r="A13" s="15">
        <v>2021</v>
      </c>
      <c r="B13" s="16">
        <v>50039.99</v>
      </c>
      <c r="C13" s="16">
        <v>0</v>
      </c>
      <c r="D13" s="16">
        <v>0</v>
      </c>
      <c r="E13" s="16">
        <v>360.28</v>
      </c>
      <c r="F13" s="16">
        <v>0</v>
      </c>
      <c r="G13" s="16">
        <v>3722.02</v>
      </c>
      <c r="H13" s="16">
        <v>0</v>
      </c>
      <c r="I13" s="16">
        <v>13034.92</v>
      </c>
      <c r="J13" s="16">
        <v>0</v>
      </c>
      <c r="K13" s="16">
        <v>32871.57</v>
      </c>
      <c r="L13" s="16">
        <v>2.0099999999999998</v>
      </c>
      <c r="M13" s="16">
        <v>0</v>
      </c>
      <c r="N13" s="16">
        <v>0</v>
      </c>
      <c r="O13" s="16">
        <v>0</v>
      </c>
      <c r="P13" s="16">
        <v>49.19</v>
      </c>
      <c r="Q13" s="16">
        <v>0</v>
      </c>
      <c r="R13" s="16">
        <v>0</v>
      </c>
      <c r="S13" s="9">
        <f t="shared" ref="S13:S15" si="0">K13/12</f>
        <v>2739.2975000000001</v>
      </c>
    </row>
    <row r="14" spans="1:19" ht="15" customHeight="1" x14ac:dyDescent="0.3">
      <c r="A14" s="15">
        <v>2022</v>
      </c>
      <c r="B14" s="16">
        <v>47896.59</v>
      </c>
      <c r="C14" s="16">
        <v>0</v>
      </c>
      <c r="D14" s="16">
        <v>0</v>
      </c>
      <c r="E14" s="16">
        <v>140.47999999999999</v>
      </c>
      <c r="F14" s="16">
        <v>0</v>
      </c>
      <c r="G14" s="16">
        <v>3612.62</v>
      </c>
      <c r="H14" s="16">
        <v>0</v>
      </c>
      <c r="I14" s="16">
        <v>13992.07</v>
      </c>
      <c r="J14" s="16">
        <v>0</v>
      </c>
      <c r="K14" s="16">
        <v>29994.99</v>
      </c>
      <c r="L14" s="16">
        <v>140.13</v>
      </c>
      <c r="M14" s="16">
        <v>0</v>
      </c>
      <c r="N14" s="16">
        <v>0</v>
      </c>
      <c r="O14" s="16">
        <v>0</v>
      </c>
      <c r="P14" s="16">
        <v>16.3</v>
      </c>
      <c r="Q14" s="16">
        <v>0</v>
      </c>
      <c r="R14" s="16">
        <v>0</v>
      </c>
      <c r="S14" s="9">
        <f t="shared" si="0"/>
        <v>2499.5825</v>
      </c>
    </row>
    <row r="15" spans="1:19" ht="15" customHeight="1" x14ac:dyDescent="0.3">
      <c r="A15" s="15">
        <v>2023</v>
      </c>
      <c r="B15" s="16">
        <v>51824.02</v>
      </c>
      <c r="C15" s="16">
        <v>0</v>
      </c>
      <c r="D15" s="16">
        <v>0</v>
      </c>
      <c r="E15" s="16">
        <v>223.51</v>
      </c>
      <c r="F15" s="16">
        <v>0</v>
      </c>
      <c r="G15" s="16">
        <v>3547.51</v>
      </c>
      <c r="H15" s="16">
        <v>0.2</v>
      </c>
      <c r="I15" s="16">
        <v>16716.669999999998</v>
      </c>
      <c r="J15" s="16">
        <v>5.62</v>
      </c>
      <c r="K15" s="16">
        <v>30701.360000000001</v>
      </c>
      <c r="L15" s="16">
        <v>518.01</v>
      </c>
      <c r="M15" s="16">
        <v>0</v>
      </c>
      <c r="N15" s="16">
        <v>0</v>
      </c>
      <c r="O15" s="16">
        <v>0</v>
      </c>
      <c r="P15" s="16">
        <v>110.85</v>
      </c>
      <c r="Q15" s="16">
        <v>0.3</v>
      </c>
      <c r="R15" s="16">
        <v>0</v>
      </c>
      <c r="S15" s="9">
        <f t="shared" si="0"/>
        <v>2558.4466666666667</v>
      </c>
    </row>
    <row r="16" spans="1:19" ht="15" customHeight="1" x14ac:dyDescent="0.3">
      <c r="A16" s="15">
        <v>2024</v>
      </c>
      <c r="B16" s="16">
        <v>54920.6</v>
      </c>
      <c r="C16" s="16">
        <v>1.1200000000000001</v>
      </c>
      <c r="D16" s="16">
        <v>0.28999999999999998</v>
      </c>
      <c r="E16" s="16">
        <v>96.72</v>
      </c>
      <c r="F16" s="16">
        <v>0.75</v>
      </c>
      <c r="G16" s="16">
        <v>3748.13</v>
      </c>
      <c r="H16" s="16">
        <v>9.98</v>
      </c>
      <c r="I16" s="16">
        <v>20147.86</v>
      </c>
      <c r="J16" s="16">
        <v>89.32</v>
      </c>
      <c r="K16" s="16">
        <v>29578.84</v>
      </c>
      <c r="L16" s="16">
        <v>779.85</v>
      </c>
      <c r="M16" s="16">
        <v>2.5099999999999998</v>
      </c>
      <c r="N16" s="16">
        <v>2.64</v>
      </c>
      <c r="O16" s="16">
        <v>0</v>
      </c>
      <c r="P16" s="16">
        <v>460.95</v>
      </c>
      <c r="Q16" s="16">
        <v>1.63</v>
      </c>
      <c r="R16" s="16">
        <v>0.01</v>
      </c>
      <c r="S16" s="9">
        <f>K16/12</f>
        <v>2464.9033333333332</v>
      </c>
    </row>
    <row r="17" spans="1:18" ht="15" customHeight="1" x14ac:dyDescent="0.3">
      <c r="A17" s="15">
        <v>2025</v>
      </c>
      <c r="B17" s="16">
        <v>56774.89</v>
      </c>
      <c r="C17" s="16">
        <v>0</v>
      </c>
      <c r="D17" s="16">
        <v>0</v>
      </c>
      <c r="E17" s="16">
        <v>32.659999999999997</v>
      </c>
      <c r="F17" s="16">
        <v>0</v>
      </c>
      <c r="G17" s="16">
        <v>4241.97</v>
      </c>
      <c r="H17" s="16">
        <v>9.68</v>
      </c>
      <c r="I17" s="16">
        <v>21712.03</v>
      </c>
      <c r="J17" s="16">
        <v>373.52</v>
      </c>
      <c r="K17" s="16">
        <v>28829.43</v>
      </c>
      <c r="L17" s="16">
        <v>969.19</v>
      </c>
      <c r="M17" s="16">
        <v>5.82</v>
      </c>
      <c r="N17" s="16">
        <v>0.71</v>
      </c>
      <c r="O17" s="16">
        <v>25.5</v>
      </c>
      <c r="P17" s="16">
        <v>571.35</v>
      </c>
      <c r="Q17" s="16">
        <v>3.01</v>
      </c>
      <c r="R17" s="16">
        <v>0</v>
      </c>
    </row>
    <row r="18" spans="1:18" ht="15" customHeight="1" x14ac:dyDescent="0.25">
      <c r="A18" s="12"/>
      <c r="B18" s="17"/>
      <c r="C18" s="18"/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2"/>
      <c r="Q18" s="12"/>
      <c r="R18" s="16"/>
    </row>
    <row r="19" spans="1:18" ht="15" customHeight="1" x14ac:dyDescent="0.3">
      <c r="A19" s="20">
        <v>2025</v>
      </c>
      <c r="B19" s="16"/>
      <c r="C19" s="18"/>
      <c r="D19" s="1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2"/>
      <c r="Q19" s="12"/>
      <c r="R19" s="16"/>
    </row>
    <row r="20" spans="1:18" ht="15" customHeight="1" x14ac:dyDescent="0.25">
      <c r="A20" s="21" t="s">
        <v>186</v>
      </c>
      <c r="B20" s="22">
        <v>4487.91</v>
      </c>
      <c r="C20" s="16">
        <v>0</v>
      </c>
      <c r="D20" s="16">
        <v>0</v>
      </c>
      <c r="E20" s="16">
        <v>3.14</v>
      </c>
      <c r="F20" s="16">
        <v>0</v>
      </c>
      <c r="G20" s="16">
        <v>256.51</v>
      </c>
      <c r="H20" s="16">
        <v>0</v>
      </c>
      <c r="I20" s="23">
        <v>1655.35</v>
      </c>
      <c r="J20" s="16">
        <v>15.97</v>
      </c>
      <c r="K20" s="23">
        <v>2431.31</v>
      </c>
      <c r="L20" s="16">
        <v>91.96</v>
      </c>
      <c r="M20" s="16">
        <v>0.88</v>
      </c>
      <c r="N20" s="16">
        <v>0</v>
      </c>
      <c r="O20" s="16">
        <v>0</v>
      </c>
      <c r="P20" s="16">
        <v>32.799999999999997</v>
      </c>
      <c r="Q20" s="16">
        <v>0</v>
      </c>
      <c r="R20" s="16">
        <v>0</v>
      </c>
    </row>
    <row r="21" spans="1:18" ht="15" customHeight="1" x14ac:dyDescent="0.25">
      <c r="A21" s="21" t="s">
        <v>187</v>
      </c>
      <c r="B21" s="22">
        <v>4145.1099999999997</v>
      </c>
      <c r="C21" s="16">
        <v>0</v>
      </c>
      <c r="D21" s="16">
        <v>0</v>
      </c>
      <c r="E21" s="16">
        <v>8.93</v>
      </c>
      <c r="F21" s="16">
        <v>0</v>
      </c>
      <c r="G21" s="16">
        <v>305.70999999999998</v>
      </c>
      <c r="H21" s="16">
        <v>0</v>
      </c>
      <c r="I21" s="23">
        <v>1624.43</v>
      </c>
      <c r="J21" s="16">
        <v>22.09</v>
      </c>
      <c r="K21" s="23">
        <v>2065.1</v>
      </c>
      <c r="L21" s="16">
        <v>85.05</v>
      </c>
      <c r="M21" s="16">
        <v>0</v>
      </c>
      <c r="N21" s="16">
        <v>0</v>
      </c>
      <c r="O21" s="16">
        <v>3.77</v>
      </c>
      <c r="P21" s="16">
        <v>30.03</v>
      </c>
      <c r="Q21" s="16">
        <v>0</v>
      </c>
      <c r="R21" s="16">
        <v>0</v>
      </c>
    </row>
    <row r="22" spans="1:18" ht="15" customHeight="1" x14ac:dyDescent="0.25">
      <c r="A22" s="21" t="s">
        <v>188</v>
      </c>
      <c r="B22" s="22">
        <v>4469.16</v>
      </c>
      <c r="C22" s="16">
        <v>0</v>
      </c>
      <c r="D22" s="16">
        <v>0</v>
      </c>
      <c r="E22" s="16">
        <v>7.0000000000000007E-2</v>
      </c>
      <c r="F22" s="16">
        <v>0</v>
      </c>
      <c r="G22" s="16">
        <v>333.52</v>
      </c>
      <c r="H22" s="16">
        <v>0</v>
      </c>
      <c r="I22" s="23">
        <v>1618.59</v>
      </c>
      <c r="J22" s="16">
        <v>51.88</v>
      </c>
      <c r="K22" s="23">
        <v>2331.88</v>
      </c>
      <c r="L22" s="16">
        <v>93.71</v>
      </c>
      <c r="M22" s="16">
        <v>0.5</v>
      </c>
      <c r="N22" s="16">
        <v>0</v>
      </c>
      <c r="O22" s="16">
        <v>0</v>
      </c>
      <c r="P22" s="16">
        <v>39.03</v>
      </c>
      <c r="Q22" s="16">
        <v>0</v>
      </c>
      <c r="R22" s="16">
        <v>0</v>
      </c>
    </row>
    <row r="23" spans="1:18" ht="15" customHeight="1" x14ac:dyDescent="0.25">
      <c r="A23" s="21" t="s">
        <v>189</v>
      </c>
      <c r="B23" s="22">
        <v>4404.43</v>
      </c>
      <c r="C23" s="16">
        <v>0</v>
      </c>
      <c r="D23" s="16">
        <v>0</v>
      </c>
      <c r="E23" s="16">
        <v>0</v>
      </c>
      <c r="F23" s="16">
        <v>0</v>
      </c>
      <c r="G23" s="16">
        <v>314.74</v>
      </c>
      <c r="H23" s="16">
        <v>1.21</v>
      </c>
      <c r="I23" s="23">
        <v>1700.14</v>
      </c>
      <c r="J23" s="16">
        <v>33.29</v>
      </c>
      <c r="K23" s="23">
        <v>2236.4899999999998</v>
      </c>
      <c r="L23" s="16">
        <v>75.56</v>
      </c>
      <c r="M23" s="16">
        <v>0</v>
      </c>
      <c r="N23" s="16">
        <v>0.71</v>
      </c>
      <c r="O23" s="16">
        <v>0.3</v>
      </c>
      <c r="P23" s="16">
        <v>42</v>
      </c>
      <c r="Q23" s="16">
        <v>0</v>
      </c>
      <c r="R23" s="16">
        <v>0</v>
      </c>
    </row>
    <row r="24" spans="1:18" ht="15" customHeight="1" x14ac:dyDescent="0.25">
      <c r="A24" s="21" t="s">
        <v>190</v>
      </c>
      <c r="B24" s="22">
        <v>4878.1400000000003</v>
      </c>
      <c r="C24" s="16">
        <v>0</v>
      </c>
      <c r="D24" s="16">
        <v>0</v>
      </c>
      <c r="E24" s="16">
        <v>1.69</v>
      </c>
      <c r="F24" s="16">
        <v>0</v>
      </c>
      <c r="G24" s="16">
        <v>342.38</v>
      </c>
      <c r="H24" s="16">
        <v>2.2799999999999998</v>
      </c>
      <c r="I24" s="23">
        <v>1892.76</v>
      </c>
      <c r="J24" s="16">
        <v>40.89</v>
      </c>
      <c r="K24" s="23">
        <v>2453.9699999999998</v>
      </c>
      <c r="L24" s="16">
        <v>96.08</v>
      </c>
      <c r="M24" s="16">
        <v>1.2</v>
      </c>
      <c r="N24" s="16">
        <v>0</v>
      </c>
      <c r="O24" s="16">
        <v>1.89</v>
      </c>
      <c r="P24" s="16">
        <v>45</v>
      </c>
      <c r="Q24" s="16">
        <v>0</v>
      </c>
      <c r="R24" s="16">
        <v>0</v>
      </c>
    </row>
    <row r="25" spans="1:18" ht="15" customHeight="1" x14ac:dyDescent="0.25">
      <c r="A25" s="21" t="s">
        <v>191</v>
      </c>
      <c r="B25" s="22">
        <v>4594.71</v>
      </c>
      <c r="C25" s="16">
        <v>0</v>
      </c>
      <c r="D25" s="16">
        <v>0</v>
      </c>
      <c r="E25" s="16">
        <v>4.49</v>
      </c>
      <c r="F25" s="16">
        <v>0</v>
      </c>
      <c r="G25" s="16">
        <v>362.02</v>
      </c>
      <c r="H25" s="16">
        <v>2.1</v>
      </c>
      <c r="I25" s="23">
        <v>1703.78</v>
      </c>
      <c r="J25" s="16">
        <v>38.75</v>
      </c>
      <c r="K25" s="23">
        <v>2311.0100000000002</v>
      </c>
      <c r="L25" s="16">
        <v>114.33</v>
      </c>
      <c r="M25" s="16">
        <v>1.9</v>
      </c>
      <c r="N25" s="16">
        <v>0</v>
      </c>
      <c r="O25" s="16">
        <v>1</v>
      </c>
      <c r="P25" s="16">
        <v>55.35</v>
      </c>
      <c r="Q25" s="16">
        <v>0</v>
      </c>
      <c r="R25" s="16">
        <v>0</v>
      </c>
    </row>
    <row r="26" spans="1:18" ht="15" customHeight="1" x14ac:dyDescent="0.25">
      <c r="A26" s="21" t="s">
        <v>192</v>
      </c>
      <c r="B26" s="22">
        <v>4918.0200000000004</v>
      </c>
      <c r="C26" s="16">
        <v>0</v>
      </c>
      <c r="D26" s="16">
        <v>0</v>
      </c>
      <c r="E26" s="16">
        <v>3.87</v>
      </c>
      <c r="F26" s="16">
        <v>0</v>
      </c>
      <c r="G26" s="16">
        <v>416.02</v>
      </c>
      <c r="H26" s="16">
        <v>1.75</v>
      </c>
      <c r="I26" s="23">
        <v>1949.42</v>
      </c>
      <c r="J26" s="16">
        <v>50.29</v>
      </c>
      <c r="K26" s="23">
        <v>2372.12</v>
      </c>
      <c r="L26" s="16">
        <v>80.45</v>
      </c>
      <c r="M26" s="16">
        <v>0</v>
      </c>
      <c r="N26" s="16">
        <v>0</v>
      </c>
      <c r="O26" s="16">
        <v>2.59</v>
      </c>
      <c r="P26" s="16">
        <v>41.53</v>
      </c>
      <c r="Q26" s="16">
        <v>0</v>
      </c>
      <c r="R26" s="16">
        <v>0</v>
      </c>
    </row>
    <row r="27" spans="1:18" ht="15" customHeight="1" x14ac:dyDescent="0.25">
      <c r="A27" s="21" t="s">
        <v>193</v>
      </c>
      <c r="B27" s="22">
        <v>4965.26</v>
      </c>
      <c r="C27" s="16">
        <v>0</v>
      </c>
      <c r="D27" s="16">
        <v>0</v>
      </c>
      <c r="E27" s="16">
        <v>1.75</v>
      </c>
      <c r="F27" s="16">
        <v>0</v>
      </c>
      <c r="G27" s="16">
        <v>368.56</v>
      </c>
      <c r="H27" s="16">
        <v>1.9</v>
      </c>
      <c r="I27" s="23">
        <v>1891.84</v>
      </c>
      <c r="J27" s="16">
        <v>34.69</v>
      </c>
      <c r="K27" s="23">
        <v>2500.9699999999998</v>
      </c>
      <c r="L27" s="16">
        <v>93.8</v>
      </c>
      <c r="M27" s="16">
        <v>0</v>
      </c>
      <c r="N27" s="16">
        <v>0</v>
      </c>
      <c r="O27" s="16">
        <v>4.79</v>
      </c>
      <c r="P27" s="16">
        <v>66.959999999999994</v>
      </c>
      <c r="Q27" s="16">
        <v>0</v>
      </c>
      <c r="R27" s="16">
        <v>0</v>
      </c>
    </row>
    <row r="28" spans="1:18" ht="15" customHeight="1" x14ac:dyDescent="0.25">
      <c r="A28" s="21" t="s">
        <v>194</v>
      </c>
      <c r="B28" s="22">
        <v>4765.09</v>
      </c>
      <c r="C28" s="16">
        <v>0</v>
      </c>
      <c r="D28" s="16">
        <v>0</v>
      </c>
      <c r="E28" s="16">
        <v>0.31</v>
      </c>
      <c r="F28" s="16">
        <v>0</v>
      </c>
      <c r="G28" s="16">
        <v>373.56</v>
      </c>
      <c r="H28" s="16">
        <v>0</v>
      </c>
      <c r="I28" s="23">
        <v>1872.95</v>
      </c>
      <c r="J28" s="16">
        <v>43.11</v>
      </c>
      <c r="K28" s="23">
        <v>2350.48</v>
      </c>
      <c r="L28" s="16">
        <v>71.7</v>
      </c>
      <c r="M28" s="16">
        <v>0</v>
      </c>
      <c r="N28" s="16">
        <v>0</v>
      </c>
      <c r="O28" s="16">
        <v>4.5199999999999996</v>
      </c>
      <c r="P28" s="16">
        <v>48.45</v>
      </c>
      <c r="Q28" s="16">
        <v>0</v>
      </c>
      <c r="R28" s="16">
        <v>0</v>
      </c>
    </row>
    <row r="29" spans="1:18" ht="15" customHeight="1" x14ac:dyDescent="0.25">
      <c r="A29" s="21" t="s">
        <v>195</v>
      </c>
      <c r="B29" s="22">
        <v>4817.74</v>
      </c>
      <c r="C29" s="16">
        <v>0</v>
      </c>
      <c r="D29" s="16">
        <v>0</v>
      </c>
      <c r="E29" s="16">
        <v>2.25</v>
      </c>
      <c r="F29" s="16">
        <v>0</v>
      </c>
      <c r="G29" s="16">
        <v>392</v>
      </c>
      <c r="H29" s="16">
        <v>0</v>
      </c>
      <c r="I29" s="23">
        <v>1866.53</v>
      </c>
      <c r="J29" s="16">
        <v>11.14</v>
      </c>
      <c r="K29" s="23">
        <v>2433.38</v>
      </c>
      <c r="L29" s="16">
        <v>50.03</v>
      </c>
      <c r="M29" s="16">
        <v>0</v>
      </c>
      <c r="N29" s="16">
        <v>0</v>
      </c>
      <c r="O29" s="16">
        <v>1.8</v>
      </c>
      <c r="P29" s="16">
        <v>60.6</v>
      </c>
      <c r="Q29" s="16">
        <v>0</v>
      </c>
      <c r="R29" s="16">
        <v>0</v>
      </c>
    </row>
    <row r="30" spans="1:18" ht="15" customHeight="1" x14ac:dyDescent="0.25">
      <c r="A30" s="21" t="s">
        <v>196</v>
      </c>
      <c r="B30" s="22">
        <v>4820.68</v>
      </c>
      <c r="C30" s="16">
        <v>0</v>
      </c>
      <c r="D30" s="16">
        <v>0</v>
      </c>
      <c r="E30" s="16">
        <v>2.99</v>
      </c>
      <c r="F30" s="16">
        <v>0</v>
      </c>
      <c r="G30" s="16">
        <v>366.41</v>
      </c>
      <c r="H30" s="16">
        <v>0.45</v>
      </c>
      <c r="I30" s="23">
        <v>1818.67</v>
      </c>
      <c r="J30" s="16">
        <v>11.08</v>
      </c>
      <c r="K30" s="23">
        <v>2512.38</v>
      </c>
      <c r="L30" s="16">
        <v>45.81</v>
      </c>
      <c r="M30" s="16">
        <v>0</v>
      </c>
      <c r="N30" s="16">
        <v>0</v>
      </c>
      <c r="O30" s="16">
        <v>4.84</v>
      </c>
      <c r="P30" s="16">
        <v>55.04</v>
      </c>
      <c r="Q30" s="16">
        <v>3.01</v>
      </c>
      <c r="R30" s="16">
        <v>0</v>
      </c>
    </row>
    <row r="31" spans="1:18" ht="15" customHeight="1" x14ac:dyDescent="0.25">
      <c r="A31" s="21" t="s">
        <v>197</v>
      </c>
      <c r="B31" s="22">
        <v>5508.63</v>
      </c>
      <c r="C31" s="16">
        <v>0</v>
      </c>
      <c r="D31" s="16">
        <v>0</v>
      </c>
      <c r="E31" s="16">
        <v>3.18</v>
      </c>
      <c r="F31" s="16">
        <v>0</v>
      </c>
      <c r="G31" s="16">
        <v>410.55</v>
      </c>
      <c r="H31" s="16">
        <v>0</v>
      </c>
      <c r="I31" s="23">
        <v>2117.58</v>
      </c>
      <c r="J31" s="16">
        <v>20.350000000000001</v>
      </c>
      <c r="K31" s="23">
        <v>2830.32</v>
      </c>
      <c r="L31" s="16">
        <v>70.72</v>
      </c>
      <c r="M31" s="16">
        <v>1.36</v>
      </c>
      <c r="N31" s="16">
        <v>0</v>
      </c>
      <c r="O31" s="16">
        <v>0</v>
      </c>
      <c r="P31" s="16">
        <v>54.57</v>
      </c>
      <c r="Q31" s="16">
        <v>0</v>
      </c>
      <c r="R31" s="16">
        <v>0</v>
      </c>
    </row>
    <row r="32" spans="1:18" ht="15" customHeight="1" x14ac:dyDescent="0.25">
      <c r="A32" s="12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2"/>
      <c r="P32" s="12"/>
      <c r="R32" s="16"/>
    </row>
    <row r="33" spans="1:18" ht="15" customHeight="1" x14ac:dyDescent="0.3">
      <c r="A33" s="12"/>
      <c r="B33" s="13" t="s">
        <v>30</v>
      </c>
      <c r="C33" s="13" t="s">
        <v>170</v>
      </c>
      <c r="D33" s="13" t="s">
        <v>171</v>
      </c>
      <c r="E33" s="13" t="s">
        <v>172</v>
      </c>
      <c r="F33" s="13" t="s">
        <v>173</v>
      </c>
      <c r="G33" s="13" t="s">
        <v>174</v>
      </c>
      <c r="H33" s="13" t="s">
        <v>175</v>
      </c>
      <c r="I33" s="13" t="s">
        <v>176</v>
      </c>
      <c r="J33" s="13" t="s">
        <v>177</v>
      </c>
      <c r="K33" s="13" t="s">
        <v>178</v>
      </c>
      <c r="L33" s="13" t="s">
        <v>179</v>
      </c>
      <c r="M33" s="13" t="s">
        <v>180</v>
      </c>
      <c r="N33" s="13" t="s">
        <v>181</v>
      </c>
      <c r="O33" s="14" t="s">
        <v>182</v>
      </c>
      <c r="P33" s="13" t="s">
        <v>183</v>
      </c>
      <c r="Q33" s="13" t="s">
        <v>184</v>
      </c>
      <c r="R33" s="14" t="s">
        <v>185</v>
      </c>
    </row>
    <row r="34" spans="1:18" ht="15" customHeight="1" x14ac:dyDescent="0.3">
      <c r="A34" s="20">
        <v>2026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2"/>
      <c r="N34" s="12"/>
      <c r="O34" s="12"/>
      <c r="P34" s="12"/>
      <c r="Q34" s="12"/>
      <c r="R34" s="12"/>
    </row>
    <row r="35" spans="1:18" ht="15" customHeight="1" x14ac:dyDescent="0.25">
      <c r="A35" s="21" t="s">
        <v>186</v>
      </c>
      <c r="B35" s="22">
        <v>5227.57</v>
      </c>
      <c r="C35" s="16">
        <v>0</v>
      </c>
      <c r="D35" s="16">
        <v>0</v>
      </c>
      <c r="E35" s="16">
        <v>2.0099999999999998</v>
      </c>
      <c r="F35" s="16">
        <v>0</v>
      </c>
      <c r="G35" s="16">
        <v>402.06</v>
      </c>
      <c r="H35" s="16">
        <v>0</v>
      </c>
      <c r="I35" s="23">
        <v>2159.17</v>
      </c>
      <c r="J35" s="16">
        <v>14.26</v>
      </c>
      <c r="K35" s="23">
        <v>2561.23</v>
      </c>
      <c r="L35" s="16">
        <v>45.95</v>
      </c>
      <c r="M35" s="16">
        <v>0</v>
      </c>
      <c r="N35" s="16">
        <v>0</v>
      </c>
      <c r="O35" s="16">
        <v>0</v>
      </c>
      <c r="P35" s="16">
        <v>42.59</v>
      </c>
      <c r="Q35" s="16">
        <v>0.3</v>
      </c>
      <c r="R35" s="16">
        <v>0</v>
      </c>
    </row>
    <row r="36" spans="1:18" ht="15" customHeight="1" x14ac:dyDescent="0.25">
      <c r="A36" s="21" t="s">
        <v>198</v>
      </c>
      <c r="B36" s="22">
        <v>4674.5200000000004</v>
      </c>
      <c r="C36" s="16">
        <v>0</v>
      </c>
      <c r="D36" s="16">
        <v>0</v>
      </c>
      <c r="E36" s="16">
        <v>3.57</v>
      </c>
      <c r="F36" s="16">
        <v>0</v>
      </c>
      <c r="G36" s="16">
        <v>370.53</v>
      </c>
      <c r="H36" s="16">
        <v>0</v>
      </c>
      <c r="I36" s="23">
        <v>1831.19</v>
      </c>
      <c r="J36" s="16">
        <v>13.96</v>
      </c>
      <c r="K36" s="23">
        <v>2309.9499999999998</v>
      </c>
      <c r="L36" s="16">
        <v>77.459999999999994</v>
      </c>
      <c r="M36" s="16">
        <v>1.56</v>
      </c>
      <c r="N36" s="16">
        <v>0</v>
      </c>
      <c r="O36" s="16">
        <v>1.3</v>
      </c>
      <c r="P36" s="16">
        <v>58.99</v>
      </c>
      <c r="Q36" s="16">
        <v>6.01</v>
      </c>
      <c r="R36" s="16">
        <v>0</v>
      </c>
    </row>
    <row r="37" spans="1:18" ht="15" customHeight="1" x14ac:dyDescent="0.25">
      <c r="A37" s="21" t="s">
        <v>188</v>
      </c>
      <c r="B37" s="22"/>
      <c r="C37" s="16"/>
      <c r="D37" s="16"/>
      <c r="E37" s="16"/>
      <c r="F37" s="16"/>
      <c r="G37" s="16"/>
      <c r="H37" s="16"/>
      <c r="I37" s="23"/>
      <c r="J37" s="16"/>
      <c r="K37" s="23"/>
      <c r="L37" s="16"/>
      <c r="M37" s="16"/>
      <c r="N37" s="16"/>
      <c r="O37" s="16"/>
      <c r="P37" s="16"/>
      <c r="Q37" s="16"/>
      <c r="R37" s="16"/>
    </row>
    <row r="38" spans="1:18" ht="15" customHeight="1" x14ac:dyDescent="0.25">
      <c r="A38" s="21" t="s">
        <v>189</v>
      </c>
      <c r="B38" s="22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spans="1:18" ht="15" customHeight="1" x14ac:dyDescent="0.25">
      <c r="A39" s="21" t="s">
        <v>190</v>
      </c>
      <c r="B39" s="22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1:18" ht="15" customHeight="1" x14ac:dyDescent="0.25">
      <c r="A40" s="21" t="s">
        <v>191</v>
      </c>
      <c r="B40" s="22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spans="1:18" ht="15" customHeight="1" x14ac:dyDescent="0.25">
      <c r="A41" s="21" t="s">
        <v>192</v>
      </c>
      <c r="B41" s="22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spans="1:18" ht="15" customHeight="1" x14ac:dyDescent="0.25">
      <c r="A42" s="21" t="s">
        <v>193</v>
      </c>
      <c r="B42" s="22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spans="1:18" ht="15" customHeight="1" x14ac:dyDescent="0.25">
      <c r="A43" s="21" t="s">
        <v>194</v>
      </c>
      <c r="B43" s="22"/>
      <c r="C43" s="22"/>
      <c r="D43" s="24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18" ht="15" customHeight="1" x14ac:dyDescent="0.25">
      <c r="A44" s="21" t="s">
        <v>195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</row>
    <row r="45" spans="1:18" ht="15" customHeight="1" x14ac:dyDescent="0.25">
      <c r="A45" s="21" t="s">
        <v>196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</row>
    <row r="46" spans="1:18" ht="15" customHeight="1" x14ac:dyDescent="0.25">
      <c r="A46" s="21" t="s">
        <v>197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8" spans="1:18" ht="13.5" customHeight="1" x14ac:dyDescent="0.25">
      <c r="A48" s="25" t="s">
        <v>199</v>
      </c>
      <c r="B48" s="25"/>
      <c r="C48" s="25"/>
      <c r="D48" s="25"/>
      <c r="E48" s="25"/>
      <c r="F48" s="25"/>
      <c r="G48" s="25"/>
      <c r="H48" s="25"/>
      <c r="I48" s="25"/>
    </row>
    <row r="49" spans="1:10" ht="13.5" customHeight="1" x14ac:dyDescent="0.25">
      <c r="A49" s="25" t="s">
        <v>200</v>
      </c>
      <c r="B49" s="25"/>
      <c r="C49" s="25"/>
      <c r="D49" s="25"/>
      <c r="E49" s="25"/>
      <c r="F49" s="25"/>
      <c r="G49" s="25"/>
      <c r="H49" s="25"/>
      <c r="I49" s="25"/>
    </row>
    <row r="50" spans="1:10" ht="13.5" customHeight="1" x14ac:dyDescent="0.25">
      <c r="A50" s="25" t="s">
        <v>201</v>
      </c>
      <c r="B50" s="25"/>
      <c r="C50" s="25"/>
      <c r="D50" s="25"/>
      <c r="E50" s="25"/>
      <c r="F50" s="25"/>
      <c r="G50" s="25"/>
      <c r="H50" s="25"/>
      <c r="I50" s="25"/>
    </row>
    <row r="51" spans="1:10" ht="13.5" customHeight="1" x14ac:dyDescent="0.25">
      <c r="A51" s="25" t="s">
        <v>202</v>
      </c>
    </row>
    <row r="52" spans="1:10" ht="13.5" customHeight="1" x14ac:dyDescent="0.25">
      <c r="A52" s="26" t="s">
        <v>203</v>
      </c>
      <c r="B52" s="27"/>
      <c r="C52" s="27"/>
      <c r="D52" s="27"/>
      <c r="E52" s="27"/>
      <c r="F52" s="27"/>
      <c r="G52" s="27"/>
      <c r="H52" s="27"/>
      <c r="I52" s="27"/>
      <c r="J52" s="27"/>
    </row>
    <row r="53" spans="1:10" ht="13.5" customHeight="1" x14ac:dyDescent="0.25">
      <c r="A53" s="26"/>
      <c r="B53" s="28"/>
      <c r="C53" s="27"/>
      <c r="D53" s="27"/>
      <c r="E53" s="27"/>
      <c r="F53" s="27"/>
      <c r="G53" s="27"/>
      <c r="H53" s="27"/>
      <c r="I53" s="27"/>
      <c r="J53" s="27"/>
    </row>
    <row r="56" spans="1:10" ht="14.25" customHeight="1" x14ac:dyDescent="0.3">
      <c r="A56" s="29" t="s">
        <v>204</v>
      </c>
    </row>
    <row r="57" spans="1:10" ht="14.25" customHeight="1" x14ac:dyDescent="0.3">
      <c r="A57" s="30" t="s">
        <v>205</v>
      </c>
      <c r="B57" s="30" t="s">
        <v>206</v>
      </c>
      <c r="C57" s="30" t="s">
        <v>207</v>
      </c>
      <c r="D57" s="30" t="s">
        <v>208</v>
      </c>
      <c r="E57" s="30" t="s">
        <v>209</v>
      </c>
      <c r="F57" s="30" t="s">
        <v>210</v>
      </c>
    </row>
    <row r="58" spans="1:10" ht="15" customHeight="1" x14ac:dyDescent="0.3">
      <c r="A58" s="9">
        <v>2021</v>
      </c>
      <c r="B58" s="9" t="s">
        <v>211</v>
      </c>
      <c r="C58" s="9">
        <f>K13+L13+M13+N13</f>
        <v>32873.58</v>
      </c>
      <c r="D58" s="9">
        <f>I13+J13</f>
        <v>13034.92</v>
      </c>
      <c r="E58" s="31">
        <f t="shared" ref="E58:E85" si="1">IFERROR(C58/(C58+D58),"")</f>
        <v>0.71606739492686544</v>
      </c>
      <c r="F58" s="31">
        <f>E58</f>
        <v>0.71606739492686544</v>
      </c>
    </row>
    <row r="59" spans="1:10" ht="15" customHeight="1" x14ac:dyDescent="0.3">
      <c r="A59" s="9">
        <v>2022</v>
      </c>
      <c r="B59" s="9" t="s">
        <v>211</v>
      </c>
      <c r="C59" s="9">
        <f>K14+L14+M14+N14</f>
        <v>30135.120000000003</v>
      </c>
      <c r="D59" s="9">
        <f>I14+J14</f>
        <v>13992.07</v>
      </c>
      <c r="E59" s="31">
        <f t="shared" si="1"/>
        <v>0.68291500093253166</v>
      </c>
      <c r="F59" s="31">
        <f>E59</f>
        <v>0.68291500093253166</v>
      </c>
    </row>
    <row r="60" spans="1:10" ht="15" customHeight="1" x14ac:dyDescent="0.3">
      <c r="A60" s="9">
        <v>2023</v>
      </c>
      <c r="B60" s="9" t="s">
        <v>211</v>
      </c>
      <c r="C60" s="9">
        <f>K15+L15+M15+N15</f>
        <v>31219.37</v>
      </c>
      <c r="D60" s="9">
        <f>I15+J15</f>
        <v>16722.289999999997</v>
      </c>
      <c r="E60" s="31">
        <f t="shared" si="1"/>
        <v>0.65119501494107634</v>
      </c>
      <c r="F60" s="31">
        <f>E60</f>
        <v>0.65119501494107634</v>
      </c>
    </row>
    <row r="61" spans="1:10" ht="15" customHeight="1" x14ac:dyDescent="0.3">
      <c r="A61" s="9">
        <v>2024</v>
      </c>
      <c r="B61" s="9" t="s">
        <v>211</v>
      </c>
      <c r="C61" s="9">
        <f>K16+L16+M16+N16</f>
        <v>30363.839999999997</v>
      </c>
      <c r="D61" s="9">
        <f>I16+J16</f>
        <v>20237.18</v>
      </c>
      <c r="E61" s="31">
        <f t="shared" si="1"/>
        <v>0.60006379318045366</v>
      </c>
      <c r="F61" s="31">
        <f>E61</f>
        <v>0.60006379318045366</v>
      </c>
    </row>
    <row r="62" spans="1:10" ht="15" customHeight="1" x14ac:dyDescent="0.3">
      <c r="A62" s="9">
        <v>2025</v>
      </c>
      <c r="B62" s="9" t="s">
        <v>186</v>
      </c>
      <c r="C62" s="9">
        <f t="shared" ref="C62:C73" si="2">IFERROR(K20+L20+M20+N20,"")</f>
        <v>2524.15</v>
      </c>
      <c r="D62" s="9">
        <f t="shared" ref="D62:D73" si="3">IFERROR(I20+J20,"")</f>
        <v>1671.32</v>
      </c>
      <c r="E62" s="31">
        <f t="shared" si="1"/>
        <v>0.60163700372067963</v>
      </c>
      <c r="F62" s="31">
        <f t="shared" ref="F62:F85" si="4">IFERROR(AVERAGEIF(E60:E62,"&gt;0"),"")</f>
        <v>0.61763193728073651</v>
      </c>
    </row>
    <row r="63" spans="1:10" ht="15" customHeight="1" x14ac:dyDescent="0.3">
      <c r="A63" s="9">
        <v>2025</v>
      </c>
      <c r="B63" s="9" t="s">
        <v>187</v>
      </c>
      <c r="C63" s="9">
        <f t="shared" si="2"/>
        <v>2150.15</v>
      </c>
      <c r="D63" s="9">
        <f t="shared" si="3"/>
        <v>1646.52</v>
      </c>
      <c r="E63" s="31">
        <f t="shared" si="1"/>
        <v>0.56632522710691213</v>
      </c>
      <c r="F63" s="31">
        <f t="shared" si="4"/>
        <v>0.58934200800268177</v>
      </c>
    </row>
    <row r="64" spans="1:10" ht="15" customHeight="1" x14ac:dyDescent="0.3">
      <c r="A64" s="9">
        <v>2025</v>
      </c>
      <c r="B64" s="9" t="s">
        <v>188</v>
      </c>
      <c r="C64" s="9">
        <f t="shared" si="2"/>
        <v>2426.09</v>
      </c>
      <c r="D64" s="9">
        <f t="shared" si="3"/>
        <v>1670.47</v>
      </c>
      <c r="E64" s="31">
        <f t="shared" si="1"/>
        <v>0.59222616048587107</v>
      </c>
      <c r="F64" s="31">
        <f t="shared" si="4"/>
        <v>0.58672946377115431</v>
      </c>
    </row>
    <row r="65" spans="1:6" ht="15" customHeight="1" x14ac:dyDescent="0.3">
      <c r="A65" s="9">
        <v>2025</v>
      </c>
      <c r="B65" s="9" t="s">
        <v>189</v>
      </c>
      <c r="C65" s="9">
        <f t="shared" si="2"/>
        <v>2312.7599999999998</v>
      </c>
      <c r="D65" s="9">
        <f t="shared" si="3"/>
        <v>1733.43</v>
      </c>
      <c r="E65" s="31">
        <f t="shared" si="1"/>
        <v>0.57158956944681294</v>
      </c>
      <c r="F65" s="31">
        <f t="shared" si="4"/>
        <v>0.57671365234653205</v>
      </c>
    </row>
    <row r="66" spans="1:6" ht="15" customHeight="1" x14ac:dyDescent="0.3">
      <c r="A66" s="9">
        <v>2025</v>
      </c>
      <c r="B66" s="9" t="s">
        <v>190</v>
      </c>
      <c r="C66" s="9">
        <f t="shared" si="2"/>
        <v>2551.2499999999995</v>
      </c>
      <c r="D66" s="9">
        <f t="shared" si="3"/>
        <v>1933.65</v>
      </c>
      <c r="E66" s="31">
        <f t="shared" si="1"/>
        <v>0.56885326317197704</v>
      </c>
      <c r="F66" s="31">
        <f t="shared" si="4"/>
        <v>0.57755633103488702</v>
      </c>
    </row>
    <row r="67" spans="1:6" ht="15" customHeight="1" x14ac:dyDescent="0.3">
      <c r="A67" s="9">
        <v>2025</v>
      </c>
      <c r="B67" s="9" t="s">
        <v>191</v>
      </c>
      <c r="C67" s="9">
        <f t="shared" si="2"/>
        <v>2427.2400000000002</v>
      </c>
      <c r="D67" s="9">
        <f t="shared" si="3"/>
        <v>1742.53</v>
      </c>
      <c r="E67" s="31">
        <f t="shared" si="1"/>
        <v>0.58210404890437606</v>
      </c>
      <c r="F67" s="31">
        <f t="shared" si="4"/>
        <v>0.57418229384105535</v>
      </c>
    </row>
    <row r="68" spans="1:6" ht="15" customHeight="1" x14ac:dyDescent="0.3">
      <c r="A68" s="9">
        <v>2025</v>
      </c>
      <c r="B68" s="9" t="s">
        <v>192</v>
      </c>
      <c r="C68" s="9">
        <f t="shared" si="2"/>
        <v>2452.5699999999997</v>
      </c>
      <c r="D68" s="9">
        <f t="shared" si="3"/>
        <v>1999.71</v>
      </c>
      <c r="E68" s="31">
        <f t="shared" si="1"/>
        <v>0.55085708895217733</v>
      </c>
      <c r="F68" s="31">
        <f t="shared" si="4"/>
        <v>0.56727146700951014</v>
      </c>
    </row>
    <row r="69" spans="1:6" ht="15" customHeight="1" x14ac:dyDescent="0.3">
      <c r="A69" s="9">
        <v>2025</v>
      </c>
      <c r="B69" s="9" t="s">
        <v>193</v>
      </c>
      <c r="C69" s="9">
        <f t="shared" si="2"/>
        <v>2594.77</v>
      </c>
      <c r="D69" s="9">
        <f t="shared" si="3"/>
        <v>1926.53</v>
      </c>
      <c r="E69" s="31">
        <f t="shared" si="1"/>
        <v>0.57389909981642451</v>
      </c>
      <c r="F69" s="31">
        <f t="shared" si="4"/>
        <v>0.5689534125576593</v>
      </c>
    </row>
    <row r="70" spans="1:6" ht="15" customHeight="1" x14ac:dyDescent="0.3">
      <c r="A70" s="9">
        <v>2025</v>
      </c>
      <c r="B70" s="9" t="s">
        <v>194</v>
      </c>
      <c r="C70" s="9">
        <f t="shared" si="2"/>
        <v>2422.1799999999998</v>
      </c>
      <c r="D70" s="9">
        <f t="shared" si="3"/>
        <v>1916.06</v>
      </c>
      <c r="E70" s="31">
        <f t="shared" si="1"/>
        <v>0.55833241130043521</v>
      </c>
      <c r="F70" s="31">
        <f t="shared" si="4"/>
        <v>0.56102953335634564</v>
      </c>
    </row>
    <row r="71" spans="1:6" ht="15" customHeight="1" x14ac:dyDescent="0.3">
      <c r="A71" s="9">
        <v>2025</v>
      </c>
      <c r="B71" s="9" t="s">
        <v>195</v>
      </c>
      <c r="C71" s="9">
        <f t="shared" si="2"/>
        <v>2483.4100000000003</v>
      </c>
      <c r="D71" s="9">
        <f t="shared" si="3"/>
        <v>1877.67</v>
      </c>
      <c r="E71" s="31">
        <f t="shared" si="1"/>
        <v>0.56944839351720222</v>
      </c>
      <c r="F71" s="31">
        <f t="shared" si="4"/>
        <v>0.56722663487802061</v>
      </c>
    </row>
    <row r="72" spans="1:6" ht="15" customHeight="1" x14ac:dyDescent="0.3">
      <c r="A72" s="9">
        <v>2025</v>
      </c>
      <c r="B72" s="9" t="s">
        <v>196</v>
      </c>
      <c r="C72" s="9">
        <f t="shared" si="2"/>
        <v>2558.19</v>
      </c>
      <c r="D72" s="9">
        <f t="shared" si="3"/>
        <v>1829.75</v>
      </c>
      <c r="E72" s="31">
        <f t="shared" si="1"/>
        <v>0.58300478128689082</v>
      </c>
      <c r="F72" s="31">
        <f t="shared" si="4"/>
        <v>0.57026186203484275</v>
      </c>
    </row>
    <row r="73" spans="1:6" ht="15" customHeight="1" x14ac:dyDescent="0.3">
      <c r="A73" s="9">
        <v>2025</v>
      </c>
      <c r="B73" s="9" t="s">
        <v>197</v>
      </c>
      <c r="C73" s="9">
        <f t="shared" si="2"/>
        <v>2902.4</v>
      </c>
      <c r="D73" s="9">
        <f t="shared" si="3"/>
        <v>2137.9299999999998</v>
      </c>
      <c r="E73" s="31">
        <f t="shared" si="1"/>
        <v>0.57583531237042018</v>
      </c>
      <c r="F73" s="31">
        <f t="shared" si="4"/>
        <v>0.57609616239150441</v>
      </c>
    </row>
    <row r="74" spans="1:6" ht="15" customHeight="1" x14ac:dyDescent="0.3">
      <c r="A74" s="9">
        <v>2026</v>
      </c>
      <c r="B74" s="9" t="s">
        <v>186</v>
      </c>
      <c r="C74" s="9">
        <f t="shared" ref="C74:C85" si="5">IFERROR(K35+L35+M35+N35,"")</f>
        <v>2607.1799999999998</v>
      </c>
      <c r="D74" s="9">
        <f t="shared" ref="D74:D85" si="6">IFERROR(I35+J35,"")</f>
        <v>2173.4300000000003</v>
      </c>
      <c r="E74" s="31">
        <f t="shared" si="1"/>
        <v>0.54536554958467631</v>
      </c>
      <c r="F74" s="31">
        <f t="shared" si="4"/>
        <v>0.56806854774732907</v>
      </c>
    </row>
    <row r="75" spans="1:6" ht="15" customHeight="1" x14ac:dyDescent="0.3">
      <c r="A75" s="9">
        <v>2026</v>
      </c>
      <c r="B75" s="9" t="s">
        <v>187</v>
      </c>
      <c r="C75" s="9">
        <f t="shared" si="5"/>
        <v>2388.9699999999998</v>
      </c>
      <c r="D75" s="9">
        <f t="shared" si="6"/>
        <v>1845.15</v>
      </c>
      <c r="E75" s="31">
        <f t="shared" si="1"/>
        <v>0.56421877509376206</v>
      </c>
      <c r="F75" s="31">
        <f t="shared" si="4"/>
        <v>0.56180654568295285</v>
      </c>
    </row>
    <row r="76" spans="1:6" ht="15" customHeight="1" x14ac:dyDescent="0.3">
      <c r="A76" s="9">
        <v>2026</v>
      </c>
      <c r="B76" s="9" t="s">
        <v>188</v>
      </c>
      <c r="C76" s="9">
        <f t="shared" si="5"/>
        <v>0</v>
      </c>
      <c r="D76" s="9">
        <f t="shared" si="6"/>
        <v>0</v>
      </c>
      <c r="E76" s="31" t="str">
        <f t="shared" si="1"/>
        <v/>
      </c>
      <c r="F76" s="31">
        <f t="shared" si="4"/>
        <v>0.55479216233921913</v>
      </c>
    </row>
    <row r="77" spans="1:6" ht="15" customHeight="1" x14ac:dyDescent="0.3">
      <c r="A77" s="9">
        <v>2026</v>
      </c>
      <c r="B77" s="9" t="s">
        <v>189</v>
      </c>
      <c r="C77" s="9">
        <f t="shared" si="5"/>
        <v>0</v>
      </c>
      <c r="D77" s="9">
        <f t="shared" si="6"/>
        <v>0</v>
      </c>
      <c r="E77" s="31" t="str">
        <f t="shared" si="1"/>
        <v/>
      </c>
      <c r="F77" s="31">
        <f t="shared" si="4"/>
        <v>0.56421877509376206</v>
      </c>
    </row>
    <row r="78" spans="1:6" ht="15" customHeight="1" x14ac:dyDescent="0.3">
      <c r="A78" s="9">
        <v>2026</v>
      </c>
      <c r="B78" s="9" t="s">
        <v>190</v>
      </c>
      <c r="C78" s="9">
        <f t="shared" si="5"/>
        <v>0</v>
      </c>
      <c r="D78" s="9">
        <f t="shared" si="6"/>
        <v>0</v>
      </c>
      <c r="E78" s="31" t="str">
        <f t="shared" si="1"/>
        <v/>
      </c>
      <c r="F78" s="31" t="str">
        <f t="shared" si="4"/>
        <v/>
      </c>
    </row>
    <row r="79" spans="1:6" ht="15" customHeight="1" x14ac:dyDescent="0.3">
      <c r="A79" s="9">
        <v>2026</v>
      </c>
      <c r="B79" s="9" t="s">
        <v>191</v>
      </c>
      <c r="C79" s="9">
        <f t="shared" si="5"/>
        <v>0</v>
      </c>
      <c r="D79" s="9">
        <f t="shared" si="6"/>
        <v>0</v>
      </c>
      <c r="E79" s="31" t="str">
        <f t="shared" si="1"/>
        <v/>
      </c>
      <c r="F79" s="31" t="str">
        <f t="shared" si="4"/>
        <v/>
      </c>
    </row>
    <row r="80" spans="1:6" ht="15" customHeight="1" x14ac:dyDescent="0.3">
      <c r="A80" s="9">
        <v>2026</v>
      </c>
      <c r="B80" s="9" t="s">
        <v>192</v>
      </c>
      <c r="C80" s="9">
        <f t="shared" si="5"/>
        <v>0</v>
      </c>
      <c r="D80" s="9">
        <f t="shared" si="6"/>
        <v>0</v>
      </c>
      <c r="E80" s="31" t="str">
        <f t="shared" si="1"/>
        <v/>
      </c>
      <c r="F80" s="31" t="str">
        <f t="shared" si="4"/>
        <v/>
      </c>
    </row>
    <row r="81" spans="1:6" ht="15" customHeight="1" x14ac:dyDescent="0.3">
      <c r="A81" s="9">
        <v>2026</v>
      </c>
      <c r="B81" s="9" t="s">
        <v>193</v>
      </c>
      <c r="C81" s="9">
        <f t="shared" si="5"/>
        <v>0</v>
      </c>
      <c r="D81" s="9">
        <f t="shared" si="6"/>
        <v>0</v>
      </c>
      <c r="E81" s="31" t="str">
        <f t="shared" si="1"/>
        <v/>
      </c>
      <c r="F81" s="31" t="str">
        <f t="shared" si="4"/>
        <v/>
      </c>
    </row>
    <row r="82" spans="1:6" ht="15" customHeight="1" x14ac:dyDescent="0.3">
      <c r="A82" s="9">
        <v>2026</v>
      </c>
      <c r="B82" s="9" t="s">
        <v>194</v>
      </c>
      <c r="C82" s="9">
        <f t="shared" si="5"/>
        <v>0</v>
      </c>
      <c r="D82" s="9">
        <f t="shared" si="6"/>
        <v>0</v>
      </c>
      <c r="E82" s="31" t="str">
        <f t="shared" si="1"/>
        <v/>
      </c>
      <c r="F82" s="31" t="str">
        <f t="shared" si="4"/>
        <v/>
      </c>
    </row>
    <row r="83" spans="1:6" ht="15" customHeight="1" x14ac:dyDescent="0.3">
      <c r="A83" s="9">
        <v>2026</v>
      </c>
      <c r="B83" s="9" t="s">
        <v>195</v>
      </c>
      <c r="C83" s="9">
        <f t="shared" si="5"/>
        <v>0</v>
      </c>
      <c r="D83" s="9">
        <f t="shared" si="6"/>
        <v>0</v>
      </c>
      <c r="E83" s="31" t="str">
        <f t="shared" si="1"/>
        <v/>
      </c>
      <c r="F83" s="31" t="str">
        <f t="shared" si="4"/>
        <v/>
      </c>
    </row>
    <row r="84" spans="1:6" ht="15" customHeight="1" x14ac:dyDescent="0.3">
      <c r="A84" s="9">
        <v>2026</v>
      </c>
      <c r="B84" s="9" t="s">
        <v>196</v>
      </c>
      <c r="C84" s="9">
        <f t="shared" si="5"/>
        <v>0</v>
      </c>
      <c r="D84" s="9">
        <f t="shared" si="6"/>
        <v>0</v>
      </c>
      <c r="E84" s="31" t="str">
        <f t="shared" si="1"/>
        <v/>
      </c>
      <c r="F84" s="31" t="str">
        <f t="shared" si="4"/>
        <v/>
      </c>
    </row>
    <row r="85" spans="1:6" ht="15" customHeight="1" x14ac:dyDescent="0.3">
      <c r="A85" s="9">
        <v>2026</v>
      </c>
      <c r="B85" s="9" t="s">
        <v>197</v>
      </c>
      <c r="C85" s="9">
        <f t="shared" si="5"/>
        <v>0</v>
      </c>
      <c r="D85" s="9">
        <f t="shared" si="6"/>
        <v>0</v>
      </c>
      <c r="E85" s="31" t="str">
        <f t="shared" si="1"/>
        <v/>
      </c>
      <c r="F85" s="31" t="str">
        <f t="shared" si="4"/>
        <v/>
      </c>
    </row>
    <row r="87" spans="1:6" ht="13.5" customHeight="1" x14ac:dyDescent="0.3">
      <c r="A87" s="32" t="s">
        <v>212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62"/>
  <sheetViews>
    <sheetView zoomScaleNormal="100" workbookViewId="0">
      <selection activeCell="B2" sqref="B2:B34"/>
    </sheetView>
  </sheetViews>
  <sheetFormatPr defaultColWidth="8.59765625" defaultRowHeight="15.6" x14ac:dyDescent="0.3"/>
  <cols>
    <col min="1" max="1" width="10.09765625" customWidth="1"/>
    <col min="2" max="3" width="16.69921875" customWidth="1"/>
    <col min="20" max="20" width="10.3984375" customWidth="1"/>
    <col min="37" max="37" width="13.09765625" customWidth="1"/>
  </cols>
  <sheetData>
    <row r="1" spans="1:37" ht="15" customHeight="1" x14ac:dyDescent="0.3">
      <c r="A1" t="s">
        <v>29</v>
      </c>
      <c r="B1" t="s">
        <v>30</v>
      </c>
      <c r="C1" t="s">
        <v>31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s="2"/>
    </row>
    <row r="2" spans="1:37" ht="15" customHeight="1" x14ac:dyDescent="0.3">
      <c r="A2" s="33" t="s">
        <v>86</v>
      </c>
      <c r="B2" s="2">
        <f t="shared" ref="B2:B33" si="0">SUM(C2:O2)</f>
        <v>635.50281300000006</v>
      </c>
      <c r="C2" s="2"/>
      <c r="D2">
        <v>269.90835199999998</v>
      </c>
      <c r="E2">
        <v>154.14829399999999</v>
      </c>
      <c r="F2">
        <v>49.765799999999999</v>
      </c>
      <c r="G2">
        <v>0</v>
      </c>
      <c r="H2">
        <v>70.520837</v>
      </c>
      <c r="I2">
        <v>0</v>
      </c>
      <c r="J2">
        <v>0</v>
      </c>
      <c r="K2">
        <v>91.159530000000004</v>
      </c>
      <c r="L2">
        <v>0</v>
      </c>
      <c r="M2">
        <v>0</v>
      </c>
      <c r="N2">
        <v>0</v>
      </c>
      <c r="O2">
        <v>0</v>
      </c>
      <c r="P2" s="2"/>
      <c r="Q2" s="2"/>
      <c r="R2" s="2"/>
      <c r="T2" s="34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5" customHeight="1" x14ac:dyDescent="0.3">
      <c r="A3" s="33" t="s">
        <v>87</v>
      </c>
      <c r="B3" s="2">
        <f t="shared" si="0"/>
        <v>630.24865519600007</v>
      </c>
      <c r="C3" s="2"/>
      <c r="D3">
        <v>238.54835199999999</v>
      </c>
      <c r="E3">
        <v>0</v>
      </c>
      <c r="F3">
        <v>151.88588799999999</v>
      </c>
      <c r="G3">
        <v>0</v>
      </c>
      <c r="H3">
        <v>81.160366999999994</v>
      </c>
      <c r="I3">
        <v>0</v>
      </c>
      <c r="J3">
        <v>0</v>
      </c>
      <c r="K3">
        <v>43.132992000000002</v>
      </c>
      <c r="L3">
        <v>115.521056196</v>
      </c>
      <c r="M3">
        <v>0</v>
      </c>
      <c r="N3">
        <v>0</v>
      </c>
      <c r="O3">
        <v>0</v>
      </c>
      <c r="P3" s="2"/>
      <c r="Q3" s="2"/>
      <c r="R3" s="2"/>
      <c r="T3" s="34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15" customHeight="1" x14ac:dyDescent="0.3">
      <c r="A4" s="33" t="s">
        <v>88</v>
      </c>
      <c r="B4" s="2">
        <f t="shared" si="0"/>
        <v>842.66520823200005</v>
      </c>
      <c r="C4" s="2"/>
      <c r="D4">
        <v>168.9408</v>
      </c>
      <c r="E4">
        <v>307.08519000000001</v>
      </c>
      <c r="F4">
        <v>233.48751999999999</v>
      </c>
      <c r="G4">
        <v>62.820241848000002</v>
      </c>
      <c r="H4">
        <v>0</v>
      </c>
      <c r="I4">
        <v>0</v>
      </c>
      <c r="J4">
        <v>0</v>
      </c>
      <c r="K4">
        <v>43.132992000000002</v>
      </c>
      <c r="L4">
        <v>27.198464384000001</v>
      </c>
      <c r="M4">
        <v>0</v>
      </c>
      <c r="N4">
        <v>0</v>
      </c>
      <c r="O4">
        <v>0</v>
      </c>
      <c r="P4" s="2"/>
      <c r="Q4" s="2"/>
      <c r="R4" s="2"/>
      <c r="T4" s="34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15" customHeight="1" x14ac:dyDescent="0.3">
      <c r="A5" s="33" t="s">
        <v>89</v>
      </c>
      <c r="B5" s="2">
        <f t="shared" si="0"/>
        <v>726.71018703200002</v>
      </c>
      <c r="C5" s="2"/>
      <c r="D5">
        <v>84.111103999999997</v>
      </c>
      <c r="E5">
        <v>155.638024</v>
      </c>
      <c r="F5">
        <v>202.39329599999999</v>
      </c>
      <c r="G5">
        <v>111.814735032</v>
      </c>
      <c r="H5">
        <v>58.596552000000003</v>
      </c>
      <c r="I5">
        <v>0</v>
      </c>
      <c r="J5">
        <v>0</v>
      </c>
      <c r="K5">
        <v>114.156476</v>
      </c>
      <c r="L5">
        <v>0</v>
      </c>
      <c r="M5">
        <v>0</v>
      </c>
      <c r="N5">
        <v>0</v>
      </c>
      <c r="O5">
        <v>0</v>
      </c>
      <c r="P5" s="2"/>
      <c r="Q5" s="2"/>
      <c r="R5" s="2"/>
      <c r="T5" s="34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15" customHeight="1" x14ac:dyDescent="0.3">
      <c r="A6" s="33" t="s">
        <v>90</v>
      </c>
      <c r="B6" s="2">
        <f t="shared" si="0"/>
        <v>476.14749999499998</v>
      </c>
      <c r="C6" s="2"/>
      <c r="D6">
        <v>221.84064000000001</v>
      </c>
      <c r="E6">
        <v>0</v>
      </c>
      <c r="F6">
        <v>86.155047999999994</v>
      </c>
      <c r="G6">
        <v>0</v>
      </c>
      <c r="H6">
        <v>81.160366999999994</v>
      </c>
      <c r="I6">
        <v>0</v>
      </c>
      <c r="J6">
        <v>0</v>
      </c>
      <c r="K6">
        <v>0</v>
      </c>
      <c r="L6">
        <v>86.991444994999995</v>
      </c>
      <c r="M6">
        <v>0</v>
      </c>
      <c r="N6">
        <v>0</v>
      </c>
      <c r="O6">
        <v>0</v>
      </c>
      <c r="P6" s="2"/>
      <c r="Q6" s="2"/>
      <c r="R6" s="2"/>
      <c r="T6" s="34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5" customHeight="1" x14ac:dyDescent="0.3">
      <c r="A7" s="33" t="s">
        <v>91</v>
      </c>
      <c r="B7" s="2">
        <f t="shared" si="0"/>
        <v>932.78356820199997</v>
      </c>
      <c r="C7" s="2"/>
      <c r="D7">
        <v>62.736128000000001</v>
      </c>
      <c r="E7">
        <v>173.51478399999999</v>
      </c>
      <c r="F7">
        <v>188.44173599999999</v>
      </c>
      <c r="G7">
        <v>158.32746220199999</v>
      </c>
      <c r="H7">
        <v>191.53889599999999</v>
      </c>
      <c r="I7">
        <v>81.464768000000007</v>
      </c>
      <c r="J7">
        <v>0</v>
      </c>
      <c r="K7">
        <v>0</v>
      </c>
      <c r="L7">
        <v>0</v>
      </c>
      <c r="M7">
        <v>76.759793999999999</v>
      </c>
      <c r="N7">
        <v>0</v>
      </c>
      <c r="O7">
        <v>0</v>
      </c>
      <c r="P7" s="2"/>
      <c r="Q7" s="2"/>
      <c r="R7" s="2"/>
      <c r="T7" s="34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15" customHeight="1" x14ac:dyDescent="0.3">
      <c r="A8" s="33" t="s">
        <v>92</v>
      </c>
      <c r="B8" s="2">
        <f t="shared" si="0"/>
        <v>651.78094760900001</v>
      </c>
      <c r="C8" s="2"/>
      <c r="D8">
        <v>219.52</v>
      </c>
      <c r="E8">
        <v>174.11441199999999</v>
      </c>
      <c r="F8">
        <v>163.96391199999999</v>
      </c>
      <c r="G8">
        <v>0</v>
      </c>
      <c r="H8">
        <v>50.094698000000001</v>
      </c>
      <c r="I8">
        <v>0</v>
      </c>
      <c r="J8">
        <v>0</v>
      </c>
      <c r="K8">
        <v>0</v>
      </c>
      <c r="L8">
        <v>44.087925609000003</v>
      </c>
      <c r="M8">
        <v>0</v>
      </c>
      <c r="N8">
        <v>0</v>
      </c>
      <c r="O8">
        <v>0</v>
      </c>
      <c r="P8" s="2"/>
      <c r="Q8" s="2"/>
      <c r="R8" s="2"/>
      <c r="T8" s="34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15" customHeight="1" x14ac:dyDescent="0.3">
      <c r="A9" s="33" t="s">
        <v>93</v>
      </c>
      <c r="B9" s="2">
        <f t="shared" si="0"/>
        <v>712.4373902399999</v>
      </c>
      <c r="C9" s="2"/>
      <c r="D9">
        <v>85.557248000000001</v>
      </c>
      <c r="E9">
        <v>159.85503399999999</v>
      </c>
      <c r="F9">
        <v>82.407024000000007</v>
      </c>
      <c r="G9">
        <v>83.862010596000005</v>
      </c>
      <c r="H9">
        <v>103.300164</v>
      </c>
      <c r="I9">
        <v>0</v>
      </c>
      <c r="J9">
        <v>0</v>
      </c>
      <c r="K9">
        <v>88.635372000000004</v>
      </c>
      <c r="L9">
        <v>108.820537644</v>
      </c>
      <c r="M9">
        <v>0</v>
      </c>
      <c r="N9">
        <v>0</v>
      </c>
      <c r="O9">
        <v>0</v>
      </c>
      <c r="P9" s="2"/>
      <c r="Q9" s="2"/>
      <c r="R9" s="2"/>
      <c r="T9" s="34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15" customHeight="1" x14ac:dyDescent="0.3">
      <c r="A10" s="33" t="s">
        <v>94</v>
      </c>
      <c r="B10" s="2">
        <f t="shared" si="0"/>
        <v>575.395340541</v>
      </c>
      <c r="C10" s="2"/>
      <c r="D10">
        <v>156.23820799999999</v>
      </c>
      <c r="E10">
        <v>0</v>
      </c>
      <c r="F10">
        <v>214.51511199999999</v>
      </c>
      <c r="G10">
        <v>0</v>
      </c>
      <c r="H10">
        <v>0</v>
      </c>
      <c r="I10">
        <v>69.970782</v>
      </c>
      <c r="J10">
        <v>0</v>
      </c>
      <c r="K10">
        <v>90.000162000000003</v>
      </c>
      <c r="L10">
        <v>44.671076540999998</v>
      </c>
      <c r="M10">
        <v>0</v>
      </c>
      <c r="N10">
        <v>0</v>
      </c>
      <c r="O10">
        <v>0</v>
      </c>
      <c r="P10" s="2"/>
      <c r="Q10" s="2"/>
      <c r="R10" s="2"/>
      <c r="T10" s="34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15" customHeight="1" x14ac:dyDescent="0.3">
      <c r="A11" s="33" t="s">
        <v>95</v>
      </c>
      <c r="B11" s="2">
        <f t="shared" si="0"/>
        <v>556.29195043100003</v>
      </c>
      <c r="C11" s="2"/>
      <c r="D11">
        <v>57.492736000000001</v>
      </c>
      <c r="E11">
        <v>168.63556800000001</v>
      </c>
      <c r="F11">
        <v>186.317824</v>
      </c>
      <c r="G11">
        <v>83.862969918000005</v>
      </c>
      <c r="H11">
        <v>10.30735</v>
      </c>
      <c r="I11">
        <v>0</v>
      </c>
      <c r="J11">
        <v>0</v>
      </c>
      <c r="K11">
        <v>0</v>
      </c>
      <c r="L11">
        <v>49.675502512999998</v>
      </c>
      <c r="M11">
        <v>0</v>
      </c>
      <c r="N11">
        <v>0</v>
      </c>
      <c r="O11">
        <v>0</v>
      </c>
      <c r="P11" s="2"/>
      <c r="Q11" s="2"/>
      <c r="R11" s="2"/>
      <c r="T11" s="34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15" customHeight="1" x14ac:dyDescent="0.3">
      <c r="A12" s="33" t="s">
        <v>96</v>
      </c>
      <c r="B12" s="2">
        <f t="shared" si="0"/>
        <v>804.84034106500008</v>
      </c>
      <c r="C12" s="2"/>
      <c r="D12">
        <v>220.32640000000001</v>
      </c>
      <c r="E12">
        <v>149.73047399999999</v>
      </c>
      <c r="F12">
        <v>58.213847999999999</v>
      </c>
      <c r="G12">
        <v>0</v>
      </c>
      <c r="H12">
        <v>160.53966299999999</v>
      </c>
      <c r="I12">
        <v>0</v>
      </c>
      <c r="J12">
        <v>0</v>
      </c>
      <c r="K12">
        <v>103.435136</v>
      </c>
      <c r="L12">
        <v>112.59482006499999</v>
      </c>
      <c r="M12">
        <v>0</v>
      </c>
      <c r="N12">
        <v>0</v>
      </c>
      <c r="O12">
        <v>0</v>
      </c>
      <c r="P12" s="2"/>
      <c r="Q12" s="2"/>
      <c r="R12" s="2"/>
      <c r="T12" s="34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15" customHeight="1" x14ac:dyDescent="0.3">
      <c r="A13" s="33" t="s">
        <v>97</v>
      </c>
      <c r="B13" s="2">
        <f t="shared" si="0"/>
        <v>516.70101110000007</v>
      </c>
      <c r="C13" s="2"/>
      <c r="D13">
        <v>73.971072000000007</v>
      </c>
      <c r="E13">
        <v>91.693582000000006</v>
      </c>
      <c r="F13">
        <v>185.26491200000001</v>
      </c>
      <c r="G13">
        <v>0</v>
      </c>
      <c r="H13">
        <v>128.51458</v>
      </c>
      <c r="I13">
        <v>0</v>
      </c>
      <c r="J13">
        <v>0</v>
      </c>
      <c r="K13">
        <v>0</v>
      </c>
      <c r="L13">
        <v>37.256865099999999</v>
      </c>
      <c r="M13">
        <v>0</v>
      </c>
      <c r="N13">
        <v>0</v>
      </c>
      <c r="O13">
        <v>0</v>
      </c>
      <c r="P13" s="2"/>
      <c r="Q13" s="2"/>
      <c r="R13" s="2"/>
      <c r="T13" s="34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15" customHeight="1" x14ac:dyDescent="0.3">
      <c r="A14" s="33" t="s">
        <v>98</v>
      </c>
      <c r="B14" s="2">
        <f t="shared" si="0"/>
        <v>779.44515436199993</v>
      </c>
      <c r="C14" s="2"/>
      <c r="D14">
        <v>249.26182399999999</v>
      </c>
      <c r="E14">
        <v>215.38973999999999</v>
      </c>
      <c r="F14">
        <v>73.598168000000001</v>
      </c>
      <c r="G14">
        <v>160.03505536200001</v>
      </c>
      <c r="H14">
        <v>81.160366999999994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s="2"/>
      <c r="Q14" s="2"/>
      <c r="R14" s="2"/>
      <c r="T14" s="34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5" customHeight="1" x14ac:dyDescent="0.3">
      <c r="A15" s="33" t="s">
        <v>99</v>
      </c>
      <c r="B15" s="2">
        <f t="shared" si="0"/>
        <v>275.54228406800001</v>
      </c>
      <c r="C15" s="2"/>
      <c r="D15">
        <v>85.557248000000001</v>
      </c>
      <c r="E15">
        <v>28.727038</v>
      </c>
      <c r="F15">
        <v>0</v>
      </c>
      <c r="G15">
        <v>80.097631067999998</v>
      </c>
      <c r="H15">
        <v>81.160366999999994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s="2"/>
      <c r="Q15" s="2"/>
      <c r="R15" s="2"/>
      <c r="T15" s="34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5" customHeight="1" x14ac:dyDescent="0.3">
      <c r="A16" s="33" t="s">
        <v>100</v>
      </c>
      <c r="B16" s="2">
        <f t="shared" si="0"/>
        <v>593.34295973300004</v>
      </c>
      <c r="C16" s="2"/>
      <c r="D16">
        <v>242.083968</v>
      </c>
      <c r="E16">
        <v>28.313275999999998</v>
      </c>
      <c r="F16">
        <v>0</v>
      </c>
      <c r="G16">
        <v>84.091288554000002</v>
      </c>
      <c r="H16">
        <v>44.525798000000002</v>
      </c>
      <c r="I16">
        <v>0</v>
      </c>
      <c r="J16">
        <v>0</v>
      </c>
      <c r="K16">
        <v>0</v>
      </c>
      <c r="L16">
        <v>115.90505917900001</v>
      </c>
      <c r="M16">
        <v>78.423569999999998</v>
      </c>
      <c r="N16">
        <v>0</v>
      </c>
      <c r="O16">
        <v>0</v>
      </c>
      <c r="P16" s="2"/>
      <c r="Q16" s="2"/>
      <c r="R16" s="2"/>
      <c r="T16" s="34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15" customHeight="1" x14ac:dyDescent="0.3">
      <c r="A17" s="33" t="s">
        <v>101</v>
      </c>
      <c r="B17" s="2">
        <f t="shared" si="0"/>
        <v>317.49675763200003</v>
      </c>
      <c r="C17" s="2"/>
      <c r="D17">
        <v>110.610304</v>
      </c>
      <c r="E17">
        <v>0</v>
      </c>
      <c r="F17">
        <v>81.445504</v>
      </c>
      <c r="G17">
        <v>107.785582632</v>
      </c>
      <c r="H17">
        <v>17.655366999999998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2"/>
      <c r="Q17" s="2"/>
      <c r="R17" s="2"/>
      <c r="T17" s="34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15" customHeight="1" x14ac:dyDescent="0.3">
      <c r="A18" s="33" t="s">
        <v>102</v>
      </c>
      <c r="B18" s="2">
        <f t="shared" si="0"/>
        <v>421.04947940799997</v>
      </c>
      <c r="C18" s="2"/>
      <c r="D18">
        <v>142.45235199999999</v>
      </c>
      <c r="E18">
        <v>0</v>
      </c>
      <c r="F18">
        <v>0</v>
      </c>
      <c r="G18">
        <v>0</v>
      </c>
      <c r="H18">
        <v>122.133793</v>
      </c>
      <c r="I18">
        <v>0</v>
      </c>
      <c r="J18">
        <v>0</v>
      </c>
      <c r="K18">
        <v>0</v>
      </c>
      <c r="L18">
        <v>44.144144408000002</v>
      </c>
      <c r="M18">
        <v>112.31919000000001</v>
      </c>
      <c r="N18">
        <v>0</v>
      </c>
      <c r="O18">
        <v>0</v>
      </c>
      <c r="P18" s="2"/>
      <c r="Q18" s="2"/>
      <c r="R18" s="2"/>
      <c r="T18" s="34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15" customHeight="1" x14ac:dyDescent="0.3">
      <c r="A19" s="33" t="s">
        <v>103</v>
      </c>
      <c r="B19" s="2">
        <f t="shared" si="0"/>
        <v>923.72062401700009</v>
      </c>
      <c r="C19" s="2"/>
      <c r="D19">
        <v>215.55699200000001</v>
      </c>
      <c r="E19">
        <v>139.378018</v>
      </c>
      <c r="F19">
        <v>111.84952800000001</v>
      </c>
      <c r="G19">
        <v>66.090570545999995</v>
      </c>
      <c r="H19">
        <v>153.197508</v>
      </c>
      <c r="I19">
        <v>81.464768000000007</v>
      </c>
      <c r="J19">
        <v>0</v>
      </c>
      <c r="K19">
        <v>110.43543</v>
      </c>
      <c r="L19">
        <v>45.747809470999997</v>
      </c>
      <c r="M19">
        <v>0</v>
      </c>
      <c r="N19">
        <v>0</v>
      </c>
      <c r="O19">
        <v>0</v>
      </c>
      <c r="P19" s="2"/>
      <c r="Q19" s="2"/>
      <c r="R19" s="2"/>
      <c r="T19" s="34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15" customHeight="1" x14ac:dyDescent="0.3">
      <c r="A20" s="33" t="s">
        <v>104</v>
      </c>
      <c r="B20" s="2">
        <f t="shared" si="0"/>
        <v>479.80856600000004</v>
      </c>
      <c r="C20" s="2"/>
      <c r="D20">
        <v>58.253439999999998</v>
      </c>
      <c r="E20">
        <v>230.146006</v>
      </c>
      <c r="F20">
        <v>191.40912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2"/>
      <c r="Q20" s="2"/>
      <c r="R20" s="2"/>
      <c r="T20" s="34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5" customHeight="1" x14ac:dyDescent="0.3">
      <c r="A21" s="33" t="s">
        <v>105</v>
      </c>
      <c r="B21" s="2">
        <f t="shared" si="0"/>
        <v>667.81937799999992</v>
      </c>
      <c r="C21" s="2"/>
      <c r="D21">
        <v>171.114496</v>
      </c>
      <c r="E21">
        <v>174.072382</v>
      </c>
      <c r="F21">
        <v>112.215096</v>
      </c>
      <c r="G21">
        <v>0</v>
      </c>
      <c r="H21">
        <v>62.721446</v>
      </c>
      <c r="I21">
        <v>0</v>
      </c>
      <c r="J21">
        <v>0</v>
      </c>
      <c r="K21">
        <v>52.652754000000002</v>
      </c>
      <c r="L21">
        <v>0</v>
      </c>
      <c r="M21">
        <v>95.043204000000003</v>
      </c>
      <c r="N21">
        <v>0</v>
      </c>
      <c r="O21">
        <v>0</v>
      </c>
      <c r="P21" s="2"/>
      <c r="Q21" s="2"/>
      <c r="R21" s="2"/>
      <c r="T21" s="34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15" customHeight="1" x14ac:dyDescent="0.3">
      <c r="A22" s="33" t="s">
        <v>106</v>
      </c>
      <c r="B22" s="2">
        <f t="shared" si="0"/>
        <v>789.77416211399998</v>
      </c>
      <c r="C22" s="2"/>
      <c r="D22">
        <v>170.94336000000001</v>
      </c>
      <c r="E22">
        <v>183.45160999999999</v>
      </c>
      <c r="F22">
        <v>0</v>
      </c>
      <c r="G22">
        <v>157.819021542</v>
      </c>
      <c r="H22">
        <v>81.160366999999994</v>
      </c>
      <c r="I22">
        <v>0</v>
      </c>
      <c r="J22">
        <v>0</v>
      </c>
      <c r="K22">
        <v>104.11331</v>
      </c>
      <c r="L22">
        <v>92.286493571999998</v>
      </c>
      <c r="M22">
        <v>0</v>
      </c>
      <c r="N22">
        <v>0</v>
      </c>
      <c r="O22">
        <v>0</v>
      </c>
      <c r="P22" s="2"/>
      <c r="Q22" s="2"/>
      <c r="R22" s="2"/>
      <c r="T22" s="34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15" customHeight="1" x14ac:dyDescent="0.3">
      <c r="A23" s="33" t="s">
        <v>107</v>
      </c>
      <c r="B23" s="2">
        <f t="shared" si="0"/>
        <v>399.91949644600004</v>
      </c>
      <c r="C23" s="2"/>
      <c r="D23">
        <v>86.989952000000002</v>
      </c>
      <c r="E23">
        <v>0</v>
      </c>
      <c r="F23">
        <v>71.902655999999993</v>
      </c>
      <c r="G23">
        <v>54.545130276000002</v>
      </c>
      <c r="H23">
        <v>0</v>
      </c>
      <c r="I23">
        <v>0</v>
      </c>
      <c r="J23">
        <v>0</v>
      </c>
      <c r="K23">
        <v>0</v>
      </c>
      <c r="L23">
        <v>110.50329017</v>
      </c>
      <c r="M23">
        <v>75.978468000000007</v>
      </c>
      <c r="N23">
        <v>0</v>
      </c>
      <c r="O23">
        <v>0</v>
      </c>
      <c r="P23" s="2"/>
      <c r="Q23" s="2"/>
      <c r="R23" s="2"/>
      <c r="T23" s="34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15" customHeight="1" x14ac:dyDescent="0.3">
      <c r="A24" s="33" t="s">
        <v>108</v>
      </c>
      <c r="B24" s="2">
        <f t="shared" si="0"/>
        <v>581.71089600200003</v>
      </c>
      <c r="C24" s="2"/>
      <c r="D24">
        <v>130.10368</v>
      </c>
      <c r="E24">
        <v>147.748526</v>
      </c>
      <c r="F24">
        <v>112.761544</v>
      </c>
      <c r="G24">
        <v>108.346786002</v>
      </c>
      <c r="H24">
        <v>0</v>
      </c>
      <c r="I24">
        <v>0</v>
      </c>
      <c r="J24">
        <v>0</v>
      </c>
      <c r="K24">
        <v>82.750360000000001</v>
      </c>
      <c r="L24">
        <v>0</v>
      </c>
      <c r="M24">
        <v>0</v>
      </c>
      <c r="N24">
        <v>0</v>
      </c>
      <c r="O24">
        <v>0</v>
      </c>
      <c r="P24" s="2"/>
      <c r="Q24" s="2"/>
      <c r="R24" s="2"/>
      <c r="T24" s="34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15" customHeight="1" x14ac:dyDescent="0.3">
      <c r="A25" s="33" t="s">
        <v>109</v>
      </c>
      <c r="B25" s="2">
        <f t="shared" si="0"/>
        <v>342.58132727100002</v>
      </c>
      <c r="C25" s="2"/>
      <c r="D25">
        <v>85.471232000000001</v>
      </c>
      <c r="E25">
        <v>154.14829399999999</v>
      </c>
      <c r="F25">
        <v>20.311872000000001</v>
      </c>
      <c r="G25">
        <v>53.579093022000002</v>
      </c>
      <c r="H25">
        <v>0</v>
      </c>
      <c r="I25">
        <v>0</v>
      </c>
      <c r="J25">
        <v>0</v>
      </c>
      <c r="K25">
        <v>0</v>
      </c>
      <c r="L25">
        <v>29.070836248999999</v>
      </c>
      <c r="M25">
        <v>0</v>
      </c>
      <c r="N25">
        <v>0</v>
      </c>
      <c r="O25">
        <v>0</v>
      </c>
      <c r="P25" s="2"/>
      <c r="Q25" s="2"/>
      <c r="R25" s="2"/>
      <c r="T25" s="34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15" customHeight="1" x14ac:dyDescent="0.3">
      <c r="A26" s="33" t="s">
        <v>110</v>
      </c>
      <c r="B26" s="2">
        <f t="shared" si="0"/>
        <v>618.40010468200012</v>
      </c>
      <c r="C26" s="2"/>
      <c r="D26">
        <v>85.557248000000001</v>
      </c>
      <c r="E26">
        <v>133.645126</v>
      </c>
      <c r="F26">
        <v>0</v>
      </c>
      <c r="G26">
        <v>67.556414562000001</v>
      </c>
      <c r="H26">
        <v>0</v>
      </c>
      <c r="I26">
        <v>0</v>
      </c>
      <c r="J26">
        <v>146.76568818999999</v>
      </c>
      <c r="K26">
        <v>58.406446000000003</v>
      </c>
      <c r="L26">
        <v>28.709701930000001</v>
      </c>
      <c r="M26">
        <v>0</v>
      </c>
      <c r="N26">
        <v>0</v>
      </c>
      <c r="O26">
        <v>97.759479999999996</v>
      </c>
      <c r="P26" s="2"/>
      <c r="Q26" s="2"/>
      <c r="R26" s="2"/>
      <c r="T26" s="34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15" customHeight="1" x14ac:dyDescent="0.3">
      <c r="A27" s="33" t="s">
        <v>111</v>
      </c>
      <c r="B27" s="2">
        <f t="shared" si="0"/>
        <v>534.47933557500005</v>
      </c>
      <c r="C27" s="2"/>
      <c r="D27">
        <v>217.56672</v>
      </c>
      <c r="E27">
        <v>115.179946</v>
      </c>
      <c r="F27">
        <v>0</v>
      </c>
      <c r="G27">
        <v>0</v>
      </c>
      <c r="H27">
        <v>104.104235</v>
      </c>
      <c r="I27">
        <v>0</v>
      </c>
      <c r="J27">
        <v>0</v>
      </c>
      <c r="K27">
        <v>68.971140000000005</v>
      </c>
      <c r="L27">
        <v>28.657294575000002</v>
      </c>
      <c r="M27">
        <v>0</v>
      </c>
      <c r="N27">
        <v>0</v>
      </c>
      <c r="O27">
        <v>0</v>
      </c>
      <c r="P27" s="2"/>
      <c r="Q27" s="2"/>
      <c r="R27" s="2"/>
      <c r="T27" s="34"/>
      <c r="W27" s="33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15" customHeight="1" x14ac:dyDescent="0.3">
      <c r="A28" s="33" t="s">
        <v>112</v>
      </c>
      <c r="B28" s="2">
        <f t="shared" si="0"/>
        <v>674.77396191700007</v>
      </c>
      <c r="C28" s="2"/>
      <c r="D28">
        <v>85.557248000000001</v>
      </c>
      <c r="E28">
        <v>86.872274000000004</v>
      </c>
      <c r="F28">
        <v>0</v>
      </c>
      <c r="G28">
        <v>161.37235023</v>
      </c>
      <c r="H28">
        <v>59.999524000000001</v>
      </c>
      <c r="I28">
        <v>81.383638000000005</v>
      </c>
      <c r="J28">
        <v>0</v>
      </c>
      <c r="K28">
        <v>86.984492000000003</v>
      </c>
      <c r="L28">
        <v>43.895447687000001</v>
      </c>
      <c r="M28">
        <v>68.708988000000005</v>
      </c>
      <c r="N28">
        <v>0</v>
      </c>
      <c r="O28">
        <v>0</v>
      </c>
      <c r="P28" s="2"/>
      <c r="Q28" s="2"/>
      <c r="R28" s="2"/>
      <c r="T28" s="34"/>
      <c r="W28" s="33"/>
      <c r="X28" s="2"/>
    </row>
    <row r="29" spans="1:37" ht="15" customHeight="1" x14ac:dyDescent="0.3">
      <c r="A29" s="33" t="s">
        <v>113</v>
      </c>
      <c r="B29" s="2">
        <f t="shared" si="0"/>
        <v>423.68972799999995</v>
      </c>
      <c r="C29" s="2"/>
      <c r="D29">
        <v>342.14297599999998</v>
      </c>
      <c r="E29">
        <v>0</v>
      </c>
      <c r="F29">
        <v>0</v>
      </c>
      <c r="G29">
        <v>0</v>
      </c>
      <c r="H29">
        <v>0</v>
      </c>
      <c r="I29">
        <v>81.546751999999998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2"/>
      <c r="Q29" s="2"/>
      <c r="R29" s="2"/>
      <c r="T29" s="34"/>
      <c r="W29" s="33"/>
      <c r="X29" s="2"/>
    </row>
    <row r="30" spans="1:37" ht="15" customHeight="1" x14ac:dyDescent="0.3">
      <c r="A30" s="33" t="s">
        <v>114</v>
      </c>
      <c r="B30" s="2">
        <f t="shared" si="0"/>
        <v>704.16828319299998</v>
      </c>
      <c r="C30" s="2"/>
      <c r="D30">
        <v>289.17862400000001</v>
      </c>
      <c r="E30">
        <v>155.04680200000001</v>
      </c>
      <c r="F30">
        <v>0</v>
      </c>
      <c r="G30">
        <v>0</v>
      </c>
      <c r="H30">
        <v>69.898488</v>
      </c>
      <c r="I30">
        <v>81.383638000000005</v>
      </c>
      <c r="J30">
        <v>0</v>
      </c>
      <c r="K30">
        <v>64.816738000000001</v>
      </c>
      <c r="L30">
        <v>43.843993193000003</v>
      </c>
      <c r="M30">
        <v>0</v>
      </c>
      <c r="N30">
        <v>0</v>
      </c>
      <c r="O30">
        <v>0</v>
      </c>
      <c r="P30" s="2"/>
      <c r="Q30" s="2"/>
      <c r="R30" s="2"/>
      <c r="T30" s="34"/>
      <c r="W30" s="33"/>
      <c r="X30" s="2"/>
    </row>
    <row r="31" spans="1:37" ht="15" customHeight="1" x14ac:dyDescent="0.3">
      <c r="A31" s="33" t="s">
        <v>115</v>
      </c>
      <c r="B31" s="2">
        <f t="shared" si="0"/>
        <v>566.50149964600007</v>
      </c>
      <c r="C31" s="2"/>
      <c r="D31">
        <v>132.79347200000001</v>
      </c>
      <c r="E31">
        <v>75.565269999999998</v>
      </c>
      <c r="F31">
        <v>103.762288</v>
      </c>
      <c r="G31">
        <v>77.614905731999997</v>
      </c>
      <c r="H31">
        <v>0</v>
      </c>
      <c r="I31">
        <v>0</v>
      </c>
      <c r="J31">
        <v>146.76568818999999</v>
      </c>
      <c r="K31">
        <v>0</v>
      </c>
      <c r="L31">
        <v>29.999875723999999</v>
      </c>
      <c r="M31">
        <v>0</v>
      </c>
      <c r="N31">
        <v>0</v>
      </c>
      <c r="O31">
        <v>0</v>
      </c>
      <c r="P31" s="2"/>
      <c r="Q31" s="2"/>
      <c r="R31" s="2"/>
      <c r="T31" s="34"/>
      <c r="W31" s="33"/>
      <c r="X31" s="2"/>
    </row>
    <row r="32" spans="1:37" ht="15" customHeight="1" x14ac:dyDescent="0.3">
      <c r="A32" s="33" t="s">
        <v>116</v>
      </c>
      <c r="B32" s="2">
        <f t="shared" si="0"/>
        <v>521.936421</v>
      </c>
      <c r="C32" s="2"/>
      <c r="D32">
        <v>21.367808</v>
      </c>
      <c r="E32">
        <v>201.36106000000001</v>
      </c>
      <c r="F32">
        <v>143.04751999999999</v>
      </c>
      <c r="G32">
        <v>0</v>
      </c>
      <c r="H32">
        <v>81.160366999999994</v>
      </c>
      <c r="I32">
        <v>0</v>
      </c>
      <c r="J32">
        <v>0</v>
      </c>
      <c r="K32">
        <v>74.999666000000005</v>
      </c>
      <c r="L32">
        <v>0</v>
      </c>
      <c r="M32">
        <v>0</v>
      </c>
      <c r="N32">
        <v>0</v>
      </c>
      <c r="O32">
        <v>0</v>
      </c>
      <c r="P32" s="2"/>
      <c r="Q32" s="2"/>
      <c r="R32" s="2"/>
      <c r="T32" s="34"/>
    </row>
    <row r="33" spans="1:20" ht="15" customHeight="1" x14ac:dyDescent="0.3">
      <c r="A33" s="33" t="s">
        <v>117</v>
      </c>
      <c r="B33" s="2">
        <f t="shared" si="0"/>
        <v>232.15151818999999</v>
      </c>
      <c r="C33" s="2"/>
      <c r="D33">
        <v>0</v>
      </c>
      <c r="E33">
        <v>0</v>
      </c>
      <c r="F33">
        <v>14.092456</v>
      </c>
      <c r="G33">
        <v>0</v>
      </c>
      <c r="H33">
        <v>0</v>
      </c>
      <c r="I33">
        <v>0</v>
      </c>
      <c r="J33">
        <v>146.76568818999999</v>
      </c>
      <c r="K33">
        <v>0</v>
      </c>
      <c r="L33">
        <v>0</v>
      </c>
      <c r="M33">
        <v>71.293374</v>
      </c>
      <c r="N33">
        <v>0</v>
      </c>
      <c r="O33">
        <v>0</v>
      </c>
      <c r="P33" s="2"/>
      <c r="Q33" s="2"/>
      <c r="R33" s="2"/>
      <c r="T33" s="34"/>
    </row>
    <row r="34" spans="1:20" ht="15" customHeight="1" x14ac:dyDescent="0.3">
      <c r="A34" s="33" t="s">
        <v>118</v>
      </c>
      <c r="B34" s="2">
        <f t="shared" ref="B34:B62" si="1">SUM(C34:O34)</f>
        <v>742.48278352099999</v>
      </c>
      <c r="C34" s="2"/>
      <c r="D34">
        <v>138.093312</v>
      </c>
      <c r="E34">
        <v>111.37016</v>
      </c>
      <c r="F34">
        <v>201.31658400000001</v>
      </c>
      <c r="G34">
        <v>0</v>
      </c>
      <c r="H34">
        <v>81.160366999999994</v>
      </c>
      <c r="I34">
        <v>0</v>
      </c>
      <c r="J34">
        <v>0</v>
      </c>
      <c r="K34">
        <v>80.395979999999994</v>
      </c>
      <c r="L34">
        <v>40.078286521000003</v>
      </c>
      <c r="M34">
        <v>90.068094000000002</v>
      </c>
      <c r="N34">
        <v>0</v>
      </c>
      <c r="O34">
        <v>0</v>
      </c>
      <c r="P34" s="2"/>
      <c r="Q34" s="2"/>
      <c r="R34" s="2"/>
      <c r="T34" s="34"/>
    </row>
    <row r="35" spans="1:20" ht="15" customHeight="1" x14ac:dyDescent="0.3">
      <c r="A35" s="33" t="s">
        <v>119</v>
      </c>
      <c r="B35" s="2">
        <f t="shared" si="1"/>
        <v>767.03425683900002</v>
      </c>
      <c r="C35" s="2"/>
      <c r="D35">
        <v>215.69587200000001</v>
      </c>
      <c r="E35">
        <v>159.37682599999999</v>
      </c>
      <c r="F35">
        <v>107.52744800000001</v>
      </c>
      <c r="G35">
        <v>76.086705785999996</v>
      </c>
      <c r="H35">
        <v>51.366751999999998</v>
      </c>
      <c r="I35">
        <v>0</v>
      </c>
      <c r="J35">
        <v>0</v>
      </c>
      <c r="K35">
        <v>50.00009</v>
      </c>
      <c r="L35">
        <v>106.980563053</v>
      </c>
      <c r="M35">
        <v>0</v>
      </c>
      <c r="N35">
        <v>0</v>
      </c>
      <c r="O35">
        <v>0</v>
      </c>
      <c r="P35" s="2"/>
      <c r="Q35" s="2"/>
      <c r="R35" s="2"/>
      <c r="T35" s="34"/>
    </row>
    <row r="36" spans="1:20" ht="15" customHeight="1" x14ac:dyDescent="0.3">
      <c r="A36" s="33" t="s">
        <v>120</v>
      </c>
      <c r="B36" s="2">
        <f t="shared" si="1"/>
        <v>454.61259269800007</v>
      </c>
      <c r="C36" s="2"/>
      <c r="D36">
        <v>142.45235199999999</v>
      </c>
      <c r="E36">
        <v>90.272034000000005</v>
      </c>
      <c r="F36">
        <v>49.999991999999999</v>
      </c>
      <c r="G36">
        <v>71.662312721999996</v>
      </c>
      <c r="H36">
        <v>0</v>
      </c>
      <c r="I36">
        <v>0</v>
      </c>
      <c r="J36">
        <v>0</v>
      </c>
      <c r="K36">
        <v>0</v>
      </c>
      <c r="L36">
        <v>40.225979975999998</v>
      </c>
      <c r="M36">
        <v>59.999921999999998</v>
      </c>
      <c r="N36">
        <v>0</v>
      </c>
      <c r="O36">
        <v>0</v>
      </c>
      <c r="P36" s="2"/>
      <c r="Q36" s="2"/>
      <c r="R36" s="2"/>
      <c r="T36" s="34"/>
    </row>
    <row r="37" spans="1:20" ht="15" customHeight="1" x14ac:dyDescent="0.3">
      <c r="A37" s="33" t="s">
        <v>121</v>
      </c>
      <c r="B37" s="2">
        <f t="shared" si="1"/>
        <v>855.91451926800005</v>
      </c>
      <c r="C37" s="2"/>
      <c r="D37">
        <v>166.005504</v>
      </c>
      <c r="E37">
        <v>139.12583799999999</v>
      </c>
      <c r="F37">
        <v>80.000367999999995</v>
      </c>
      <c r="G37">
        <v>153.92801151</v>
      </c>
      <c r="H37">
        <v>0</v>
      </c>
      <c r="I37">
        <v>0</v>
      </c>
      <c r="J37">
        <v>139.776757758</v>
      </c>
      <c r="K37">
        <v>112.505596</v>
      </c>
      <c r="L37">
        <v>0</v>
      </c>
      <c r="M37">
        <v>64.572444000000004</v>
      </c>
      <c r="N37">
        <v>0</v>
      </c>
      <c r="O37">
        <v>0</v>
      </c>
      <c r="P37" s="2"/>
      <c r="Q37" s="2"/>
      <c r="R37" s="2"/>
      <c r="T37" s="34"/>
    </row>
    <row r="38" spans="1:20" ht="15" customHeight="1" x14ac:dyDescent="0.3">
      <c r="A38" s="33" t="s">
        <v>122</v>
      </c>
      <c r="B38" s="2">
        <f t="shared" si="1"/>
        <v>512.24529095500009</v>
      </c>
      <c r="C38" s="2"/>
      <c r="D38">
        <v>0</v>
      </c>
      <c r="E38">
        <v>79.330224000000001</v>
      </c>
      <c r="F38">
        <v>0</v>
      </c>
      <c r="G38">
        <v>154.14673692599999</v>
      </c>
      <c r="H38">
        <v>84.318031000000005</v>
      </c>
      <c r="I38">
        <v>81.546751999999998</v>
      </c>
      <c r="J38">
        <v>0</v>
      </c>
      <c r="K38">
        <v>0</v>
      </c>
      <c r="L38">
        <v>112.90354702899999</v>
      </c>
      <c r="M38">
        <v>0</v>
      </c>
      <c r="N38">
        <v>0</v>
      </c>
      <c r="O38">
        <v>0</v>
      </c>
      <c r="P38" s="2"/>
      <c r="Q38" s="2"/>
      <c r="R38" s="2"/>
      <c r="T38" s="34"/>
    </row>
    <row r="39" spans="1:20" ht="15" customHeight="1" x14ac:dyDescent="0.3">
      <c r="A39" s="33" t="s">
        <v>123</v>
      </c>
      <c r="B39" s="2">
        <f t="shared" si="1"/>
        <v>853.73257599199997</v>
      </c>
      <c r="C39" s="2"/>
      <c r="D39">
        <v>0</v>
      </c>
      <c r="E39">
        <v>98.130709999999993</v>
      </c>
      <c r="F39">
        <v>111.75908800000001</v>
      </c>
      <c r="G39">
        <v>154.25034370200001</v>
      </c>
      <c r="H39">
        <v>117.73552463</v>
      </c>
      <c r="I39">
        <v>80.000157999999999</v>
      </c>
      <c r="J39">
        <v>136.87272390000001</v>
      </c>
      <c r="K39">
        <v>0</v>
      </c>
      <c r="L39">
        <v>38.266897759999999</v>
      </c>
      <c r="M39">
        <v>116.71713</v>
      </c>
      <c r="N39">
        <v>0</v>
      </c>
      <c r="O39">
        <v>0</v>
      </c>
      <c r="P39" s="2"/>
      <c r="Q39" s="2"/>
      <c r="R39" s="2"/>
      <c r="T39" s="34"/>
    </row>
    <row r="40" spans="1:20" ht="15" customHeight="1" x14ac:dyDescent="0.3">
      <c r="A40" s="33" t="s">
        <v>124</v>
      </c>
      <c r="B40" s="2">
        <f t="shared" si="1"/>
        <v>679.4043519999999</v>
      </c>
      <c r="C40" s="2"/>
      <c r="D40">
        <v>0</v>
      </c>
      <c r="E40">
        <v>129.105886</v>
      </c>
      <c r="F40">
        <v>99.999983999999998</v>
      </c>
      <c r="G40">
        <v>0</v>
      </c>
      <c r="H40">
        <v>64.966592000000006</v>
      </c>
      <c r="I40">
        <v>162.92953600000001</v>
      </c>
      <c r="J40">
        <v>0</v>
      </c>
      <c r="K40">
        <v>0</v>
      </c>
      <c r="L40">
        <v>0</v>
      </c>
      <c r="M40">
        <v>69.514163999999994</v>
      </c>
      <c r="N40">
        <v>0</v>
      </c>
      <c r="O40">
        <v>152.88819000000001</v>
      </c>
      <c r="P40" s="2"/>
      <c r="Q40" s="2"/>
      <c r="R40" s="2"/>
      <c r="T40" s="34"/>
    </row>
    <row r="41" spans="1:20" ht="15" customHeight="1" x14ac:dyDescent="0.3">
      <c r="A41" s="33" t="s">
        <v>125</v>
      </c>
      <c r="B41" s="2">
        <f t="shared" si="1"/>
        <v>681.26643758399996</v>
      </c>
      <c r="C41" s="2"/>
      <c r="D41">
        <v>0</v>
      </c>
      <c r="E41">
        <v>36.813609999999997</v>
      </c>
      <c r="F41">
        <v>91.53004</v>
      </c>
      <c r="G41">
        <v>147.74614054200001</v>
      </c>
      <c r="H41">
        <v>82.832991000000007</v>
      </c>
      <c r="I41">
        <v>68.541185999999996</v>
      </c>
      <c r="J41">
        <v>146.76568818999999</v>
      </c>
      <c r="K41">
        <v>0</v>
      </c>
      <c r="L41">
        <v>107.036781852</v>
      </c>
      <c r="M41">
        <v>0</v>
      </c>
      <c r="N41">
        <v>0</v>
      </c>
      <c r="O41">
        <v>0</v>
      </c>
      <c r="P41" s="2"/>
      <c r="Q41" s="2"/>
      <c r="R41" s="2"/>
      <c r="T41" s="34"/>
    </row>
    <row r="42" spans="1:20" ht="15" customHeight="1" x14ac:dyDescent="0.3">
      <c r="A42" s="33" t="s">
        <v>126</v>
      </c>
      <c r="B42" s="2">
        <f t="shared" si="1"/>
        <v>541.48273272799997</v>
      </c>
      <c r="C42" s="2"/>
      <c r="D42">
        <v>0</v>
      </c>
      <c r="E42">
        <v>42.347560000000001</v>
      </c>
      <c r="F42">
        <v>108.98496</v>
      </c>
      <c r="G42">
        <v>86.991318960000001</v>
      </c>
      <c r="H42">
        <v>81.160366999999994</v>
      </c>
      <c r="I42">
        <v>0</v>
      </c>
      <c r="J42">
        <v>0</v>
      </c>
      <c r="K42">
        <v>90.000162000000003</v>
      </c>
      <c r="L42">
        <v>58.208372767999997</v>
      </c>
      <c r="M42">
        <v>73.789991999999998</v>
      </c>
      <c r="N42">
        <v>0</v>
      </c>
      <c r="O42">
        <v>0</v>
      </c>
      <c r="P42" s="2"/>
      <c r="Q42" s="2"/>
      <c r="R42" s="2"/>
      <c r="T42" s="34"/>
    </row>
    <row r="43" spans="1:20" ht="15" customHeight="1" x14ac:dyDescent="0.3">
      <c r="A43" s="33" t="s">
        <v>127</v>
      </c>
      <c r="B43" s="2">
        <f t="shared" si="1"/>
        <v>937.90260437999996</v>
      </c>
      <c r="C43" s="2"/>
      <c r="D43">
        <v>0</v>
      </c>
      <c r="E43">
        <v>158.73423399999999</v>
      </c>
      <c r="F43">
        <v>170.821168</v>
      </c>
      <c r="G43">
        <v>0</v>
      </c>
      <c r="H43">
        <v>151.804306</v>
      </c>
      <c r="I43">
        <v>163.01151999999999</v>
      </c>
      <c r="J43">
        <v>293.53137637999998</v>
      </c>
      <c r="K43">
        <v>0</v>
      </c>
      <c r="L43">
        <v>0</v>
      </c>
      <c r="M43">
        <v>0</v>
      </c>
      <c r="N43">
        <v>0</v>
      </c>
      <c r="O43">
        <v>0</v>
      </c>
      <c r="P43" s="2"/>
      <c r="Q43" s="2"/>
      <c r="R43" s="2"/>
      <c r="T43" s="34"/>
    </row>
    <row r="44" spans="1:20" ht="15" customHeight="1" x14ac:dyDescent="0.3">
      <c r="A44" s="33" t="s">
        <v>128</v>
      </c>
      <c r="B44" s="2">
        <f t="shared" si="1"/>
        <v>725.25582322299999</v>
      </c>
      <c r="C44" s="2"/>
      <c r="D44">
        <v>0</v>
      </c>
      <c r="E44">
        <v>100.511476</v>
      </c>
      <c r="F44">
        <v>90.000175999999996</v>
      </c>
      <c r="G44">
        <v>99.124823616</v>
      </c>
      <c r="H44">
        <v>0</v>
      </c>
      <c r="I44">
        <v>0</v>
      </c>
      <c r="J44">
        <v>154.29600160699999</v>
      </c>
      <c r="K44">
        <v>90.000162000000003</v>
      </c>
      <c r="L44">
        <v>0</v>
      </c>
      <c r="M44">
        <v>59.999921999999998</v>
      </c>
      <c r="N44">
        <v>131.323262</v>
      </c>
      <c r="O44">
        <v>0</v>
      </c>
      <c r="P44" s="2"/>
      <c r="Q44" s="2"/>
      <c r="R44" s="2"/>
      <c r="T44" s="34"/>
    </row>
    <row r="45" spans="1:20" ht="15" customHeight="1" x14ac:dyDescent="0.3">
      <c r="A45" s="33" t="s">
        <v>129</v>
      </c>
      <c r="B45" s="2">
        <f t="shared" si="1"/>
        <v>1097.172146786</v>
      </c>
      <c r="C45" s="2"/>
      <c r="D45">
        <v>0</v>
      </c>
      <c r="E45">
        <v>159.75416200000001</v>
      </c>
      <c r="F45">
        <v>117.19881599999999</v>
      </c>
      <c r="G45">
        <v>96.333196595999993</v>
      </c>
      <c r="H45">
        <v>64.120509999999996</v>
      </c>
      <c r="I45">
        <v>81.383638000000005</v>
      </c>
      <c r="J45">
        <v>146.76568818999999</v>
      </c>
      <c r="K45">
        <v>0</v>
      </c>
      <c r="L45">
        <v>0</v>
      </c>
      <c r="M45">
        <v>0</v>
      </c>
      <c r="N45">
        <v>277.09904599999999</v>
      </c>
      <c r="O45">
        <v>154.51709</v>
      </c>
      <c r="P45" s="2"/>
      <c r="Q45" s="2"/>
      <c r="R45" s="2"/>
      <c r="T45" s="34"/>
    </row>
    <row r="46" spans="1:20" ht="15" customHeight="1" x14ac:dyDescent="0.3">
      <c r="A46" s="33" t="s">
        <v>130</v>
      </c>
      <c r="B46" s="2">
        <f t="shared" si="1"/>
        <v>717.99138962999996</v>
      </c>
      <c r="C46" s="2"/>
      <c r="D46">
        <v>0</v>
      </c>
      <c r="E46">
        <v>39.512869999999999</v>
      </c>
      <c r="F46">
        <v>99.999983999999998</v>
      </c>
      <c r="G46">
        <v>121.75235163000001</v>
      </c>
      <c r="H46">
        <v>87.500119999999995</v>
      </c>
      <c r="I46">
        <v>95.042513999999997</v>
      </c>
      <c r="J46">
        <v>0</v>
      </c>
      <c r="K46">
        <v>60.754260000000002</v>
      </c>
      <c r="L46">
        <v>0</v>
      </c>
      <c r="M46">
        <v>74.835576000000003</v>
      </c>
      <c r="N46">
        <v>138.59371400000001</v>
      </c>
      <c r="O46">
        <v>0</v>
      </c>
      <c r="P46" s="2"/>
      <c r="Q46" s="2"/>
      <c r="R46" s="2"/>
      <c r="T46" s="34"/>
    </row>
    <row r="47" spans="1:20" ht="15" customHeight="1" x14ac:dyDescent="0.3">
      <c r="A47" s="33" t="s">
        <v>131</v>
      </c>
      <c r="B47" s="2">
        <f t="shared" si="1"/>
        <v>732.70094618999997</v>
      </c>
      <c r="C47" s="2"/>
      <c r="D47">
        <v>0</v>
      </c>
      <c r="E47">
        <v>155.000102</v>
      </c>
      <c r="F47">
        <v>80.495407999999998</v>
      </c>
      <c r="G47">
        <v>0</v>
      </c>
      <c r="H47">
        <v>0</v>
      </c>
      <c r="I47">
        <v>0</v>
      </c>
      <c r="J47">
        <v>146.76568818999999</v>
      </c>
      <c r="K47">
        <v>0</v>
      </c>
      <c r="L47">
        <v>0</v>
      </c>
      <c r="M47">
        <v>85.468860000000006</v>
      </c>
      <c r="N47">
        <v>264.970888</v>
      </c>
      <c r="O47">
        <v>0</v>
      </c>
      <c r="P47" s="2"/>
      <c r="Q47" s="2"/>
      <c r="R47" s="2"/>
      <c r="T47" s="34"/>
    </row>
    <row r="48" spans="1:20" ht="15" customHeight="1" x14ac:dyDescent="0.3">
      <c r="A48" s="33" t="s">
        <v>132</v>
      </c>
      <c r="B48" s="2">
        <f t="shared" si="1"/>
        <v>499.91529824899999</v>
      </c>
      <c r="C48" s="2"/>
      <c r="D48">
        <v>0</v>
      </c>
      <c r="E48">
        <v>0</v>
      </c>
      <c r="F48">
        <v>0</v>
      </c>
      <c r="G48">
        <v>0</v>
      </c>
      <c r="H48">
        <v>59.999524000000001</v>
      </c>
      <c r="I48">
        <v>162.93038999999999</v>
      </c>
      <c r="J48">
        <v>0</v>
      </c>
      <c r="K48">
        <v>105.67789399999999</v>
      </c>
      <c r="L48">
        <v>32.882280248999997</v>
      </c>
      <c r="M48">
        <v>0</v>
      </c>
      <c r="N48">
        <v>138.42520999999999</v>
      </c>
      <c r="O48">
        <v>0</v>
      </c>
      <c r="P48" s="2"/>
      <c r="Q48" s="2"/>
      <c r="R48" s="2"/>
      <c r="T48" s="34"/>
    </row>
    <row r="49" spans="1:20" ht="15" customHeight="1" x14ac:dyDescent="0.3">
      <c r="A49" t="s">
        <v>133</v>
      </c>
      <c r="B49" s="2">
        <f t="shared" si="1"/>
        <v>638.70908324699997</v>
      </c>
      <c r="C49" s="2"/>
      <c r="D49">
        <v>85.471232000000001</v>
      </c>
      <c r="E49">
        <v>134.968604</v>
      </c>
      <c r="F49">
        <v>90.000175999999996</v>
      </c>
      <c r="G49">
        <v>0</v>
      </c>
      <c r="H49">
        <v>74.956417000000002</v>
      </c>
      <c r="I49">
        <v>81.546751999999998</v>
      </c>
      <c r="J49">
        <v>146.76568818999999</v>
      </c>
      <c r="K49">
        <v>0</v>
      </c>
      <c r="L49">
        <v>25.000214057000001</v>
      </c>
      <c r="M49">
        <v>0</v>
      </c>
      <c r="N49">
        <v>0</v>
      </c>
      <c r="O49">
        <v>0</v>
      </c>
      <c r="P49" s="2"/>
      <c r="Q49" s="2"/>
      <c r="R49" s="2"/>
      <c r="T49" s="34"/>
    </row>
    <row r="50" spans="1:20" ht="15" customHeight="1" x14ac:dyDescent="0.3">
      <c r="A50" t="s">
        <v>134</v>
      </c>
      <c r="B50" s="2">
        <f t="shared" si="1"/>
        <v>975.03478014400002</v>
      </c>
      <c r="C50" s="2"/>
      <c r="D50">
        <v>0</v>
      </c>
      <c r="E50">
        <v>183.53286800000001</v>
      </c>
      <c r="F50">
        <v>45.000087999999998</v>
      </c>
      <c r="G50">
        <v>245.940421818</v>
      </c>
      <c r="H50">
        <v>81.160366999999994</v>
      </c>
      <c r="I50">
        <v>217.239666</v>
      </c>
      <c r="J50">
        <v>132.78782732600001</v>
      </c>
      <c r="K50">
        <v>69.373542</v>
      </c>
      <c r="L50">
        <v>0</v>
      </c>
      <c r="M50">
        <v>0</v>
      </c>
      <c r="N50">
        <v>0</v>
      </c>
      <c r="O50">
        <v>0</v>
      </c>
      <c r="P50" s="2"/>
      <c r="Q50" s="2"/>
      <c r="R50" s="2"/>
      <c r="T50" s="34"/>
    </row>
    <row r="51" spans="1:20" ht="15" customHeight="1" x14ac:dyDescent="0.3">
      <c r="A51" t="s">
        <v>135</v>
      </c>
      <c r="B51" s="2">
        <f t="shared" si="1"/>
        <v>752.68461733000015</v>
      </c>
      <c r="C51" s="2"/>
      <c r="D51">
        <v>170.942464</v>
      </c>
      <c r="E51">
        <v>51.826726000000001</v>
      </c>
      <c r="F51">
        <v>81.811071999999996</v>
      </c>
      <c r="G51">
        <v>108.68063005800001</v>
      </c>
      <c r="H51">
        <v>0</v>
      </c>
      <c r="I51">
        <v>27.842108</v>
      </c>
      <c r="J51">
        <v>146.434380312</v>
      </c>
      <c r="K51">
        <v>0</v>
      </c>
      <c r="L51">
        <v>85.147658960000001</v>
      </c>
      <c r="M51">
        <v>79.999578</v>
      </c>
      <c r="N51">
        <v>0</v>
      </c>
      <c r="O51">
        <v>0</v>
      </c>
      <c r="P51" s="2"/>
      <c r="Q51" s="2"/>
      <c r="R51" s="2"/>
      <c r="T51" s="34"/>
    </row>
    <row r="52" spans="1:20" ht="15" customHeight="1" x14ac:dyDescent="0.3">
      <c r="A52" t="s">
        <v>136</v>
      </c>
      <c r="B52" s="2">
        <f t="shared" si="1"/>
        <v>590.49772991999998</v>
      </c>
      <c r="C52" s="2"/>
      <c r="D52">
        <v>281.15404799999999</v>
      </c>
      <c r="E52">
        <v>0</v>
      </c>
      <c r="F52">
        <v>0</v>
      </c>
      <c r="G52">
        <v>149.99958792000001</v>
      </c>
      <c r="H52">
        <v>0</v>
      </c>
      <c r="I52">
        <v>81.464768000000007</v>
      </c>
      <c r="J52">
        <v>0</v>
      </c>
      <c r="K52">
        <v>77.879326000000006</v>
      </c>
      <c r="L52">
        <v>0</v>
      </c>
      <c r="M52">
        <v>0</v>
      </c>
      <c r="N52">
        <v>0</v>
      </c>
      <c r="O52">
        <v>0</v>
      </c>
      <c r="P52" s="2"/>
      <c r="Q52" s="2"/>
      <c r="R52" s="2"/>
      <c r="T52" s="34"/>
    </row>
    <row r="53" spans="1:20" ht="15" customHeight="1" x14ac:dyDescent="0.3">
      <c r="A53" t="s">
        <v>137</v>
      </c>
      <c r="B53" s="2">
        <f t="shared" si="1"/>
        <v>1099.6444005599999</v>
      </c>
      <c r="C53" s="2"/>
      <c r="D53">
        <v>346.17945600000002</v>
      </c>
      <c r="E53">
        <v>120.199262</v>
      </c>
      <c r="F53">
        <v>86.422560000000004</v>
      </c>
      <c r="G53">
        <v>196.64182356000001</v>
      </c>
      <c r="H53">
        <v>81.160366999999994</v>
      </c>
      <c r="I53">
        <v>207.70731799999999</v>
      </c>
      <c r="J53">
        <v>0</v>
      </c>
      <c r="K53">
        <v>0</v>
      </c>
      <c r="L53">
        <v>0</v>
      </c>
      <c r="M53">
        <v>61.333613999999997</v>
      </c>
      <c r="N53">
        <v>0</v>
      </c>
      <c r="O53">
        <v>0</v>
      </c>
      <c r="P53" s="2"/>
      <c r="Q53" s="2"/>
      <c r="R53" s="2"/>
      <c r="T53" s="34"/>
    </row>
    <row r="54" spans="1:20" ht="15" customHeight="1" x14ac:dyDescent="0.3">
      <c r="A54" t="s">
        <v>138</v>
      </c>
      <c r="B54" s="2">
        <f t="shared" si="1"/>
        <v>925.37822566200009</v>
      </c>
      <c r="C54" s="2"/>
      <c r="D54">
        <v>357.26566400000002</v>
      </c>
      <c r="E54">
        <v>79.151830000000004</v>
      </c>
      <c r="F54">
        <v>85.000271999999995</v>
      </c>
      <c r="G54">
        <v>104.159345472</v>
      </c>
      <c r="H54">
        <v>0</v>
      </c>
      <c r="I54">
        <v>0</v>
      </c>
      <c r="J54">
        <v>146.76568818999999</v>
      </c>
      <c r="K54">
        <v>81.348050000000001</v>
      </c>
      <c r="L54">
        <v>0</v>
      </c>
      <c r="M54">
        <v>71.687376</v>
      </c>
      <c r="N54">
        <v>0</v>
      </c>
      <c r="O54">
        <v>0</v>
      </c>
      <c r="P54" s="2"/>
      <c r="Q54" s="2"/>
      <c r="R54" s="2"/>
      <c r="T54" s="34"/>
    </row>
    <row r="55" spans="1:20" ht="15" customHeight="1" x14ac:dyDescent="0.3">
      <c r="A55" t="s">
        <v>139</v>
      </c>
      <c r="B55" s="2">
        <f t="shared" si="1"/>
        <v>1064.3582444859999</v>
      </c>
      <c r="C55" s="2"/>
      <c r="D55">
        <v>173.426176</v>
      </c>
      <c r="E55">
        <v>212.49340599999999</v>
      </c>
      <c r="F55">
        <v>78.581888000000006</v>
      </c>
      <c r="G55">
        <v>302.82246048600001</v>
      </c>
      <c r="H55">
        <v>0</v>
      </c>
      <c r="I55">
        <v>287.87400600000001</v>
      </c>
      <c r="J55">
        <v>0</v>
      </c>
      <c r="K55">
        <v>0</v>
      </c>
      <c r="L55">
        <v>0</v>
      </c>
      <c r="M55">
        <v>9.1603080000000006</v>
      </c>
      <c r="N55">
        <v>0</v>
      </c>
      <c r="O55">
        <v>0</v>
      </c>
      <c r="P55" s="2"/>
      <c r="Q55" s="2"/>
      <c r="R55" s="2"/>
      <c r="T55" s="34"/>
    </row>
    <row r="56" spans="1:20" ht="15" customHeight="1" x14ac:dyDescent="0.3">
      <c r="A56" t="s">
        <v>140</v>
      </c>
      <c r="B56" s="2">
        <f t="shared" si="1"/>
        <v>1021.117249575</v>
      </c>
      <c r="C56" s="2"/>
      <c r="D56">
        <v>347.27974399999999</v>
      </c>
      <c r="E56">
        <v>0</v>
      </c>
      <c r="F56">
        <v>46.101551999999998</v>
      </c>
      <c r="G56">
        <v>151.312899738</v>
      </c>
      <c r="H56">
        <v>0</v>
      </c>
      <c r="I56">
        <v>135.77489800000001</v>
      </c>
      <c r="J56">
        <v>249.644187837</v>
      </c>
      <c r="K56">
        <v>0</v>
      </c>
      <c r="L56">
        <v>0</v>
      </c>
      <c r="M56">
        <v>91.003968</v>
      </c>
      <c r="N56">
        <v>0</v>
      </c>
      <c r="O56">
        <v>0</v>
      </c>
      <c r="P56" s="2"/>
      <c r="Q56" s="2"/>
      <c r="R56" s="2"/>
      <c r="T56" s="34"/>
    </row>
    <row r="57" spans="1:20" ht="15" customHeight="1" x14ac:dyDescent="0.3">
      <c r="A57" t="s">
        <v>141</v>
      </c>
      <c r="B57" s="2">
        <f t="shared" si="1"/>
        <v>1167.7359563800001</v>
      </c>
      <c r="C57" s="2"/>
      <c r="D57">
        <v>524.60441600000001</v>
      </c>
      <c r="E57">
        <v>183.83641800000001</v>
      </c>
      <c r="F57">
        <v>80.424008000000001</v>
      </c>
      <c r="G57">
        <v>160.48497738</v>
      </c>
      <c r="H57">
        <v>48.667301000000002</v>
      </c>
      <c r="I57">
        <v>169.71883600000001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s="2"/>
      <c r="Q57" s="2"/>
      <c r="R57" s="2"/>
      <c r="T57" s="34"/>
    </row>
    <row r="58" spans="1:20" ht="15" customHeight="1" x14ac:dyDescent="0.3">
      <c r="A58" t="s">
        <v>142</v>
      </c>
      <c r="B58" s="2">
        <f t="shared" si="1"/>
        <v>985.87386978600011</v>
      </c>
      <c r="C58" s="2"/>
      <c r="D58">
        <v>170.94336000000001</v>
      </c>
      <c r="E58">
        <v>148.23047</v>
      </c>
      <c r="F58">
        <v>78.657095999999996</v>
      </c>
      <c r="G58">
        <v>172.22036340599999</v>
      </c>
      <c r="H58">
        <v>0</v>
      </c>
      <c r="I58">
        <v>42.676088</v>
      </c>
      <c r="J58">
        <v>293.53137637999998</v>
      </c>
      <c r="K58">
        <v>0</v>
      </c>
      <c r="L58">
        <v>0</v>
      </c>
      <c r="M58">
        <v>79.615116</v>
      </c>
      <c r="N58">
        <v>0</v>
      </c>
      <c r="O58">
        <v>0</v>
      </c>
      <c r="P58" s="2"/>
      <c r="Q58" s="2"/>
      <c r="R58" s="2"/>
      <c r="T58" s="34"/>
    </row>
    <row r="59" spans="1:20" ht="15" customHeight="1" x14ac:dyDescent="0.3">
      <c r="A59" t="s">
        <v>143</v>
      </c>
      <c r="B59" s="2">
        <f t="shared" si="1"/>
        <v>442.26193110400004</v>
      </c>
      <c r="C59" s="2"/>
      <c r="D59">
        <v>170.942464</v>
      </c>
      <c r="E59">
        <v>0</v>
      </c>
      <c r="F59">
        <v>109.738944</v>
      </c>
      <c r="G59">
        <v>161.58052310400001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s="2"/>
      <c r="Q59" s="2"/>
      <c r="R59" s="2"/>
      <c r="T59" s="34"/>
    </row>
    <row r="60" spans="1:20" ht="15" customHeight="1" x14ac:dyDescent="0.3">
      <c r="A60" t="s">
        <v>144</v>
      </c>
      <c r="B60" s="2">
        <f t="shared" si="1"/>
        <v>812.99808762400005</v>
      </c>
      <c r="C60" s="2"/>
      <c r="D60">
        <v>170.942464</v>
      </c>
      <c r="E60">
        <v>0</v>
      </c>
      <c r="F60">
        <v>0</v>
      </c>
      <c r="G60">
        <v>156.45774362399999</v>
      </c>
      <c r="H60">
        <v>40.000334000000002</v>
      </c>
      <c r="I60">
        <v>274.47218400000003</v>
      </c>
      <c r="J60">
        <v>0</v>
      </c>
      <c r="K60">
        <v>58.406446000000003</v>
      </c>
      <c r="L60">
        <v>0</v>
      </c>
      <c r="M60">
        <v>112.71891599999999</v>
      </c>
      <c r="N60">
        <v>0</v>
      </c>
      <c r="O60">
        <v>0</v>
      </c>
      <c r="P60" s="2"/>
      <c r="Q60" s="2"/>
      <c r="R60" s="2"/>
      <c r="T60" s="34"/>
    </row>
    <row r="61" spans="1:20" ht="15" customHeight="1" x14ac:dyDescent="0.3">
      <c r="A61" t="s">
        <v>145</v>
      </c>
      <c r="B61" s="2">
        <f t="shared" si="1"/>
        <v>634.91724545300008</v>
      </c>
      <c r="C61" s="2"/>
      <c r="D61">
        <v>170.942464</v>
      </c>
      <c r="E61">
        <v>0</v>
      </c>
      <c r="F61">
        <v>0</v>
      </c>
      <c r="G61">
        <v>160.80155364000001</v>
      </c>
      <c r="H61">
        <v>0</v>
      </c>
      <c r="I61">
        <v>61.160063999999998</v>
      </c>
      <c r="J61">
        <v>149.82241981300001</v>
      </c>
      <c r="K61">
        <v>0</v>
      </c>
      <c r="L61">
        <v>0</v>
      </c>
      <c r="M61">
        <v>92.190743999999995</v>
      </c>
      <c r="N61">
        <v>0</v>
      </c>
      <c r="O61">
        <v>0</v>
      </c>
      <c r="P61" s="2"/>
      <c r="Q61" s="2"/>
      <c r="R61" s="2"/>
      <c r="T61" s="34"/>
    </row>
    <row r="62" spans="1:20" ht="15" customHeight="1" x14ac:dyDescent="0.3">
      <c r="A62" t="s">
        <v>146</v>
      </c>
      <c r="B62" s="2">
        <f t="shared" si="1"/>
        <v>193.02727588599998</v>
      </c>
      <c r="C62" s="2"/>
      <c r="D62">
        <v>85.471232000000001</v>
      </c>
      <c r="E62">
        <v>69.015128000000004</v>
      </c>
      <c r="F62">
        <v>0</v>
      </c>
      <c r="G62">
        <v>0</v>
      </c>
      <c r="H62">
        <v>0</v>
      </c>
      <c r="I62">
        <v>0</v>
      </c>
      <c r="J62">
        <v>38.540915886000001</v>
      </c>
      <c r="K62">
        <v>0</v>
      </c>
      <c r="L62">
        <v>0</v>
      </c>
      <c r="M62">
        <v>0</v>
      </c>
      <c r="N62">
        <v>0</v>
      </c>
      <c r="O62">
        <v>0</v>
      </c>
      <c r="P62" s="2"/>
      <c r="Q62" s="2"/>
      <c r="R62" s="2"/>
      <c r="T62" s="34"/>
    </row>
    <row r="63" spans="1:20" ht="15" customHeigh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T63" s="34"/>
    </row>
    <row r="64" spans="1:20" ht="15" customHeigh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T64" s="34"/>
    </row>
    <row r="65" spans="2:20" ht="15" customHeigh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T65" s="34"/>
    </row>
    <row r="66" spans="2:20" ht="15" customHeigh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T66" s="34"/>
    </row>
    <row r="67" spans="2:20" ht="15" customHeigh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T67" s="34"/>
    </row>
    <row r="68" spans="2:20" ht="15" customHeigh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T68" s="34"/>
    </row>
    <row r="69" spans="2:20" ht="15" customHeigh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T69" s="34"/>
    </row>
    <row r="70" spans="2:20" ht="15" customHeigh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T70" s="34"/>
    </row>
    <row r="71" spans="2:20" ht="15" customHeigh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T71" s="34"/>
    </row>
    <row r="72" spans="2:20" ht="15" customHeigh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T72" s="34"/>
    </row>
    <row r="73" spans="2:20" ht="15" customHeigh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T73" s="34"/>
    </row>
    <row r="74" spans="2:20" ht="15" customHeigh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T74" s="34"/>
    </row>
    <row r="75" spans="2:20" ht="15" customHeigh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T75" s="34"/>
    </row>
    <row r="76" spans="2:20" ht="15" customHeigh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T76" s="34"/>
    </row>
    <row r="77" spans="2:20" ht="15" customHeigh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T77" s="34"/>
    </row>
    <row r="78" spans="2:20" ht="15" customHeigh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T78" s="34"/>
    </row>
    <row r="79" spans="2:20" ht="15" customHeigh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T79" s="34"/>
    </row>
    <row r="80" spans="2:20" ht="15" customHeigh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T80" s="34"/>
    </row>
    <row r="81" spans="2:20" ht="15" customHeigh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T81" s="34"/>
    </row>
    <row r="82" spans="2:20" ht="15" customHeigh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T82" s="34"/>
    </row>
    <row r="83" spans="2:20" ht="15" customHeigh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T83" s="34"/>
    </row>
    <row r="84" spans="2:20" ht="15" customHeigh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T84" s="34"/>
    </row>
    <row r="85" spans="2:20" ht="15" customHeigh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T85" s="34"/>
    </row>
    <row r="86" spans="2:20" ht="15" customHeigh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T86" s="34"/>
    </row>
    <row r="87" spans="2:20" ht="15" customHeigh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T87" s="34"/>
    </row>
    <row r="88" spans="2:20" ht="15" customHeigh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T88" s="34"/>
    </row>
    <row r="89" spans="2:20" ht="15" customHeigh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T89" s="34"/>
    </row>
    <row r="90" spans="2:20" ht="15" customHeigh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T90" s="34"/>
    </row>
    <row r="91" spans="2:20" ht="15" customHeigh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T91" s="34"/>
    </row>
    <row r="92" spans="2:20" ht="15" customHeigh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T92" s="34"/>
    </row>
    <row r="93" spans="2:20" ht="15" customHeigh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T93" s="34"/>
    </row>
    <row r="94" spans="2:20" ht="15" customHeigh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T94" s="34"/>
    </row>
    <row r="95" spans="2:20" ht="15" customHeigh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T95" s="34"/>
    </row>
    <row r="96" spans="2:20" ht="15" customHeigh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T96" s="34"/>
    </row>
    <row r="97" spans="2:20" ht="15" customHeigh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T97" s="34"/>
    </row>
    <row r="98" spans="2:20" ht="15" customHeigh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T98" s="34"/>
    </row>
    <row r="99" spans="2:20" ht="15" customHeigh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T99" s="34"/>
    </row>
    <row r="100" spans="2:20" ht="15" customHeigh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T100" s="34"/>
    </row>
    <row r="101" spans="2:20" ht="15" customHeigh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T101" s="34"/>
    </row>
    <row r="102" spans="2:20" ht="15" customHeigh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T102" s="34"/>
    </row>
    <row r="103" spans="2:20" ht="15" customHeigh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T103" s="34"/>
    </row>
    <row r="104" spans="2:20" ht="15" customHeigh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T104" s="34"/>
    </row>
    <row r="105" spans="2:20" ht="15" customHeigh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T105" s="34"/>
    </row>
    <row r="106" spans="2:20" ht="15" customHeigh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T106" s="34"/>
    </row>
    <row r="107" spans="2:20" ht="15" customHeigh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T107" s="34"/>
    </row>
    <row r="108" spans="2:20" ht="15" customHeigh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T108" s="34"/>
    </row>
    <row r="109" spans="2:20" ht="15" customHeigh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T109" s="34"/>
    </row>
    <row r="110" spans="2:20" ht="15" customHeigh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T110" s="34"/>
    </row>
    <row r="111" spans="2:20" ht="15" customHeigh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T111" s="34"/>
    </row>
    <row r="112" spans="2:20" ht="15" customHeigh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T112" s="34"/>
    </row>
    <row r="113" spans="2:20" ht="15" customHeigh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T113" s="34"/>
    </row>
    <row r="114" spans="2:20" ht="15" customHeigh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T114" s="34"/>
    </row>
    <row r="115" spans="2:20" ht="15" customHeigh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T115" s="34"/>
    </row>
    <row r="116" spans="2:20" ht="15" customHeigh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T116" s="34"/>
    </row>
    <row r="117" spans="2:20" ht="15" customHeigh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T117" s="34"/>
    </row>
    <row r="118" spans="2:20" ht="15" customHeigh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T118" s="34"/>
    </row>
    <row r="119" spans="2:20" ht="15" customHeigh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T119" s="34"/>
    </row>
    <row r="120" spans="2:20" ht="15" customHeigh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T120" s="34"/>
    </row>
    <row r="121" spans="2:20" ht="15" customHeigh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T121" s="34"/>
    </row>
    <row r="122" spans="2:20" ht="15" customHeigh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T122" s="34"/>
    </row>
    <row r="123" spans="2:20" ht="15" customHeigh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T123" s="34"/>
    </row>
    <row r="124" spans="2:20" ht="15" customHeigh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T124" s="34"/>
    </row>
    <row r="125" spans="2:20" ht="15" customHeigh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T125" s="34"/>
    </row>
    <row r="126" spans="2:20" ht="15" customHeigh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T126" s="34"/>
    </row>
    <row r="127" spans="2:20" ht="15" customHeigh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T127" s="34"/>
    </row>
    <row r="128" spans="2:20" ht="15" customHeigh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T128" s="34"/>
    </row>
    <row r="129" spans="2:20" ht="15" customHeigh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T129" s="34"/>
    </row>
    <row r="130" spans="2:20" ht="15" customHeigh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T130" s="34"/>
    </row>
    <row r="131" spans="2:20" ht="15" customHeigh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T131" s="34"/>
    </row>
    <row r="132" spans="2:20" ht="15" customHeigh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T132" s="34"/>
    </row>
    <row r="133" spans="2:20" ht="15" customHeigh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T133" s="34"/>
    </row>
    <row r="134" spans="2:20" ht="15" customHeigh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T134" s="34"/>
    </row>
    <row r="135" spans="2:20" ht="15" customHeigh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T135" s="34"/>
    </row>
    <row r="136" spans="2:20" ht="15" customHeigh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T136" s="34"/>
    </row>
    <row r="137" spans="2:20" ht="15" customHeigh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T137" s="34"/>
    </row>
    <row r="138" spans="2:20" ht="15" customHeigh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T138" s="34"/>
    </row>
    <row r="139" spans="2:20" ht="15" customHeigh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T139" s="34"/>
    </row>
    <row r="140" spans="2:20" ht="15" customHeigh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T140" s="34"/>
    </row>
    <row r="141" spans="2:20" ht="15" customHeigh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T141" s="34"/>
    </row>
    <row r="142" spans="2:20" ht="15" customHeigh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T142" s="34"/>
    </row>
    <row r="143" spans="2:20" ht="15" customHeigh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T143" s="34"/>
    </row>
    <row r="144" spans="2:20" ht="15" customHeigh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T144" s="34"/>
    </row>
    <row r="145" spans="2:20" ht="15" customHeigh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T145" s="34"/>
    </row>
    <row r="146" spans="2:20" ht="15" customHeigh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T146" s="34"/>
    </row>
    <row r="147" spans="2:20" ht="15" customHeigh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T147" s="34"/>
    </row>
    <row r="148" spans="2:20" ht="15" customHeigh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T148" s="34"/>
    </row>
    <row r="149" spans="2:20" ht="15" customHeigh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T149" s="34"/>
    </row>
    <row r="150" spans="2:20" ht="15" customHeigh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T150" s="34"/>
    </row>
    <row r="151" spans="2:20" ht="15" customHeigh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T151" s="34"/>
    </row>
    <row r="152" spans="2:20" ht="15" customHeigh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T152" s="34"/>
    </row>
    <row r="153" spans="2:20" ht="15" customHeigh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T153" s="34"/>
    </row>
    <row r="154" spans="2:20" ht="15" customHeigh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T154" s="34"/>
    </row>
    <row r="155" spans="2:20" ht="15" customHeigh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T155" s="34"/>
    </row>
    <row r="156" spans="2:20" ht="15" customHeigh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T156" s="34"/>
    </row>
    <row r="157" spans="2:20" ht="15" customHeigh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T157" s="34"/>
    </row>
    <row r="158" spans="2:20" ht="15" customHeigh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T158" s="34"/>
    </row>
    <row r="159" spans="2:20" ht="15" customHeigh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T159" s="34"/>
    </row>
    <row r="160" spans="2:20" ht="15" customHeigh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T160" s="34"/>
    </row>
    <row r="161" spans="2:20" ht="15" customHeigh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T161" s="34"/>
    </row>
    <row r="162" spans="2:20" ht="15" customHeigh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T162" s="34"/>
    </row>
    <row r="163" spans="2:20" ht="15" customHeigh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T163" s="34"/>
    </row>
    <row r="164" spans="2:20" ht="15" customHeigh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T164" s="34"/>
    </row>
    <row r="165" spans="2:20" ht="15" customHeigh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T165" s="34"/>
    </row>
    <row r="166" spans="2:20" ht="15" customHeigh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T166" s="34"/>
    </row>
    <row r="167" spans="2:20" ht="15" customHeigh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T167" s="34"/>
    </row>
    <row r="168" spans="2:20" ht="15" customHeigh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T168" s="34"/>
    </row>
    <row r="169" spans="2:20" ht="15" customHeigh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T169" s="34"/>
    </row>
    <row r="170" spans="2:20" ht="15" customHeigh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T170" s="34"/>
    </row>
    <row r="171" spans="2:20" ht="15" customHeigh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T171" s="34"/>
    </row>
    <row r="172" spans="2:20" ht="15" customHeigh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T172" s="34"/>
    </row>
    <row r="173" spans="2:20" ht="15" customHeigh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T173" s="34"/>
    </row>
    <row r="174" spans="2:20" ht="15" customHeigh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T174" s="34"/>
    </row>
    <row r="175" spans="2:20" ht="15" customHeigh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T175" s="34"/>
    </row>
    <row r="176" spans="2:20" ht="15" customHeigh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T176" s="34"/>
    </row>
    <row r="177" spans="2:20" ht="15" customHeigh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T177" s="34"/>
    </row>
    <row r="178" spans="2:20" ht="15" customHeigh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T178" s="34"/>
    </row>
    <row r="179" spans="2:20" ht="15" customHeigh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T179" s="34"/>
    </row>
    <row r="180" spans="2:20" ht="15" customHeigh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T180" s="34"/>
    </row>
    <row r="181" spans="2:20" ht="15" customHeigh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T181" s="34"/>
    </row>
    <row r="182" spans="2:20" ht="15" customHeigh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T182" s="34"/>
    </row>
    <row r="183" spans="2:20" ht="15" customHeigh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T183" s="34"/>
    </row>
    <row r="184" spans="2:20" ht="15" customHeigh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T184" s="34"/>
    </row>
    <row r="185" spans="2:20" ht="15" customHeigh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T185" s="34"/>
    </row>
    <row r="186" spans="2:20" ht="15" customHeigh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T186" s="34"/>
    </row>
    <row r="187" spans="2:20" ht="15" customHeigh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T187" s="34"/>
    </row>
    <row r="188" spans="2:20" ht="15" customHeigh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T188" s="34"/>
    </row>
    <row r="189" spans="2:20" ht="15" customHeigh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T189" s="34"/>
    </row>
    <row r="190" spans="2:20" ht="15" customHeigh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T190" s="34"/>
    </row>
    <row r="191" spans="2:20" ht="15" customHeigh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T191" s="34"/>
    </row>
    <row r="192" spans="2:20" ht="15" customHeigh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T192" s="34"/>
    </row>
    <row r="193" spans="2:20" ht="15" customHeigh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T193" s="34"/>
    </row>
    <row r="194" spans="2:20" ht="15" customHeigh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T194" s="34"/>
    </row>
    <row r="195" spans="2:20" ht="15" customHeigh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T195" s="34"/>
    </row>
    <row r="196" spans="2:20" ht="15" customHeigh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T196" s="34"/>
    </row>
    <row r="197" spans="2:20" ht="15" customHeigh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T197" s="34"/>
    </row>
    <row r="198" spans="2:20" ht="15" customHeigh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T198" s="34"/>
    </row>
    <row r="199" spans="2:20" ht="15" customHeigh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T199" s="34"/>
    </row>
    <row r="200" spans="2:20" ht="15" customHeigh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T200" s="34"/>
    </row>
    <row r="201" spans="2:20" ht="15" customHeigh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T201" s="34"/>
    </row>
    <row r="202" spans="2:20" ht="15" customHeigh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T202" s="34"/>
    </row>
    <row r="203" spans="2:20" ht="15" customHeigh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T203" s="34"/>
    </row>
    <row r="204" spans="2:20" ht="15" customHeigh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T204" s="34"/>
    </row>
    <row r="205" spans="2:20" ht="15" customHeigh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T205" s="34"/>
    </row>
    <row r="206" spans="2:20" ht="15" customHeigh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T206" s="34"/>
    </row>
    <row r="207" spans="2:20" ht="15" customHeigh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T207" s="34"/>
    </row>
    <row r="208" spans="2:20" ht="15" customHeigh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T208" s="34"/>
    </row>
    <row r="209" spans="2:20" ht="15" customHeigh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T209" s="34"/>
    </row>
    <row r="210" spans="2:20" ht="15" customHeigh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T210" s="34"/>
    </row>
    <row r="211" spans="2:20" ht="15" customHeigh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T211" s="34"/>
    </row>
    <row r="212" spans="2:20" ht="15" customHeigh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T212" s="34"/>
    </row>
    <row r="213" spans="2:20" ht="15" customHeigh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T213" s="34"/>
    </row>
    <row r="214" spans="2:20" ht="15" customHeigh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T214" s="34"/>
    </row>
    <row r="215" spans="2:20" ht="15" customHeigh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T215" s="34"/>
    </row>
    <row r="216" spans="2:20" ht="15" customHeigh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T216" s="34"/>
    </row>
    <row r="217" spans="2:20" ht="15" customHeigh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T217" s="34"/>
    </row>
    <row r="218" spans="2:20" ht="15" customHeigh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T218" s="34"/>
    </row>
    <row r="219" spans="2:20" ht="15" customHeigh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T219" s="34"/>
    </row>
    <row r="220" spans="2:20" ht="15" customHeigh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T220" s="34"/>
    </row>
    <row r="221" spans="2:20" ht="15" customHeigh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T221" s="34"/>
    </row>
    <row r="222" spans="2:20" ht="15" customHeigh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T222" s="34"/>
    </row>
    <row r="223" spans="2:20" ht="15" customHeigh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T223" s="34"/>
    </row>
    <row r="224" spans="2:20" ht="15" customHeigh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T224" s="34"/>
    </row>
    <row r="225" spans="2:20" ht="15" customHeigh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T225" s="34"/>
    </row>
    <row r="226" spans="2:20" ht="15" customHeigh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T226" s="34"/>
    </row>
    <row r="227" spans="2:20" ht="15" customHeigh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T227" s="34"/>
    </row>
    <row r="228" spans="2:20" ht="15" customHeigh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T228" s="34"/>
    </row>
    <row r="229" spans="2:20" ht="15" customHeigh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T229" s="34"/>
    </row>
    <row r="230" spans="2:20" ht="15" customHeigh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T230" s="34"/>
    </row>
    <row r="231" spans="2:20" ht="15" customHeigh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T231" s="34"/>
    </row>
    <row r="232" spans="2:20" ht="15" customHeigh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T232" s="34"/>
    </row>
    <row r="233" spans="2:20" ht="15" customHeigh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T233" s="34"/>
    </row>
    <row r="234" spans="2:20" ht="15" customHeigh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T234" s="34"/>
    </row>
    <row r="235" spans="2:20" ht="15" customHeigh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T235" s="34"/>
    </row>
    <row r="236" spans="2:20" ht="15" customHeigh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T236" s="34"/>
    </row>
    <row r="237" spans="2:20" ht="15" customHeigh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T237" s="34"/>
    </row>
    <row r="238" spans="2:20" ht="15" customHeigh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T238" s="34"/>
    </row>
    <row r="239" spans="2:20" ht="15" customHeigh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T239" s="34"/>
    </row>
    <row r="240" spans="2:20" ht="15" customHeigh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T240" s="34"/>
    </row>
    <row r="241" spans="2:20" ht="15" customHeigh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T241" s="34"/>
    </row>
    <row r="242" spans="2:20" ht="15" customHeigh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T242" s="34"/>
    </row>
    <row r="243" spans="2:20" ht="15" customHeigh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T243" s="34"/>
    </row>
    <row r="244" spans="2:20" ht="15" customHeigh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T244" s="34"/>
    </row>
    <row r="245" spans="2:20" ht="15" customHeigh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T245" s="34"/>
    </row>
    <row r="246" spans="2:20" ht="15" customHeigh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T246" s="34"/>
    </row>
    <row r="247" spans="2:20" ht="15" customHeigh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T247" s="34"/>
    </row>
    <row r="248" spans="2:20" ht="15" customHeigh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T248" s="34"/>
    </row>
    <row r="249" spans="2:20" ht="15" customHeigh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T249" s="34"/>
    </row>
    <row r="250" spans="2:20" ht="15" customHeigh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T250" s="34"/>
    </row>
    <row r="251" spans="2:20" ht="15" customHeigh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T251" s="34"/>
    </row>
    <row r="252" spans="2:20" ht="15" customHeigh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T252" s="34"/>
    </row>
    <row r="253" spans="2:20" ht="15" customHeigh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T253" s="34"/>
    </row>
    <row r="254" spans="2:20" ht="15" customHeigh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T254" s="34"/>
    </row>
    <row r="255" spans="2:20" ht="15" customHeigh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T255" s="34"/>
    </row>
    <row r="256" spans="2:20" ht="15" customHeigh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T256" s="34"/>
    </row>
    <row r="257" spans="2:20" ht="15" customHeigh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T257" s="34"/>
    </row>
    <row r="258" spans="2:20" ht="15" customHeigh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T258" s="34"/>
    </row>
    <row r="259" spans="2:20" ht="15" customHeigh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T259" s="34"/>
    </row>
    <row r="260" spans="2:20" ht="15" customHeigh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T260" s="34"/>
    </row>
    <row r="261" spans="2:20" ht="15" customHeigh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T261" s="34"/>
    </row>
    <row r="262" spans="2:20" ht="15" customHeigh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T262" s="34"/>
    </row>
    <row r="263" spans="2:20" ht="15" customHeigh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T263" s="34"/>
    </row>
    <row r="264" spans="2:20" ht="15" customHeigh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T264" s="34"/>
    </row>
    <row r="265" spans="2:20" ht="15" customHeigh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T265" s="34"/>
    </row>
    <row r="266" spans="2:20" ht="15" customHeigh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T266" s="34"/>
    </row>
    <row r="267" spans="2:20" ht="15" customHeigh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T267" s="34"/>
    </row>
    <row r="268" spans="2:20" ht="15" customHeigh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T268" s="34"/>
    </row>
    <row r="269" spans="2:20" ht="15" customHeigh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T269" s="34"/>
    </row>
    <row r="270" spans="2:20" ht="15" customHeigh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T270" s="34"/>
    </row>
    <row r="271" spans="2:20" ht="15" customHeigh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T271" s="34"/>
    </row>
    <row r="272" spans="2:20" ht="15" customHeigh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T272" s="34"/>
    </row>
    <row r="273" spans="2:20" ht="15" customHeigh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T273" s="34"/>
    </row>
    <row r="274" spans="2:20" ht="15" customHeigh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T274" s="34"/>
    </row>
    <row r="275" spans="2:20" ht="15" customHeigh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T275" s="34"/>
    </row>
    <row r="276" spans="2:20" ht="15" customHeigh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T276" s="34"/>
    </row>
    <row r="277" spans="2:20" ht="15" customHeigh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T277" s="34"/>
    </row>
    <row r="278" spans="2:20" ht="15" customHeigh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T278" s="34"/>
    </row>
    <row r="279" spans="2:20" ht="15" customHeigh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T279" s="34"/>
    </row>
    <row r="280" spans="2:20" ht="15" customHeigh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T280" s="34"/>
    </row>
    <row r="281" spans="2:20" ht="15" customHeigh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T281" s="34"/>
    </row>
    <row r="282" spans="2:20" ht="15" customHeigh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T282" s="34"/>
    </row>
    <row r="283" spans="2:20" ht="15" customHeigh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T283" s="34"/>
    </row>
    <row r="284" spans="2:20" ht="15" customHeigh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T284" s="34"/>
    </row>
    <row r="285" spans="2:20" ht="15" customHeigh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T285" s="34"/>
    </row>
    <row r="286" spans="2:20" ht="15" customHeigh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T286" s="34"/>
    </row>
    <row r="287" spans="2:20" ht="15" customHeigh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T287" s="34"/>
    </row>
    <row r="288" spans="2:20" ht="15" customHeigh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T288" s="34"/>
    </row>
    <row r="289" spans="2:20" ht="15" customHeigh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T289" s="34"/>
    </row>
    <row r="290" spans="2:20" ht="15" customHeigh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T290" s="34"/>
    </row>
    <row r="291" spans="2:20" ht="15" customHeigh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T291" s="34"/>
    </row>
    <row r="292" spans="2:20" ht="15" customHeigh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T292" s="34"/>
    </row>
    <row r="293" spans="2:20" ht="15" customHeigh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T293" s="34"/>
    </row>
    <row r="294" spans="2:20" ht="15" customHeigh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T294" s="34"/>
    </row>
    <row r="295" spans="2:20" ht="15" customHeigh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T295" s="34"/>
    </row>
    <row r="296" spans="2:20" ht="15" customHeigh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T296" s="34"/>
    </row>
    <row r="297" spans="2:20" ht="15" customHeigh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T297" s="34"/>
    </row>
    <row r="298" spans="2:20" ht="15" customHeigh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T298" s="34"/>
    </row>
    <row r="299" spans="2:20" ht="15" customHeigh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T299" s="34"/>
    </row>
    <row r="300" spans="2:20" ht="15" customHeigh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T300" s="34"/>
    </row>
    <row r="301" spans="2:20" ht="15" customHeigh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T301" s="34"/>
    </row>
    <row r="302" spans="2:20" ht="15" customHeigh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T302" s="34"/>
    </row>
    <row r="303" spans="2:20" ht="15" customHeigh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T303" s="34"/>
    </row>
    <row r="304" spans="2:20" ht="15" customHeigh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T304" s="34"/>
    </row>
    <row r="305" spans="2:20" ht="15" customHeigh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T305" s="34"/>
    </row>
    <row r="306" spans="2:20" ht="15" customHeigh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T306" s="34"/>
    </row>
    <row r="307" spans="2:20" ht="15" customHeigh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T307" s="34"/>
    </row>
    <row r="308" spans="2:20" ht="15" customHeigh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T308" s="34"/>
    </row>
    <row r="309" spans="2:20" ht="15" customHeigh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T309" s="34"/>
    </row>
    <row r="310" spans="2:20" ht="15" customHeigh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T310" s="34"/>
    </row>
    <row r="311" spans="2:20" ht="15" customHeigh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T311" s="34"/>
    </row>
    <row r="312" spans="2:20" ht="15" customHeigh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T312" s="34"/>
    </row>
    <row r="313" spans="2:20" ht="15" customHeigh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T313" s="34"/>
    </row>
    <row r="314" spans="2:20" ht="15" customHeigh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T314" s="34"/>
    </row>
    <row r="315" spans="2:20" ht="15" customHeigh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T315" s="34"/>
    </row>
    <row r="316" spans="2:20" ht="15" customHeigh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T316" s="34"/>
    </row>
    <row r="317" spans="2:20" ht="15" customHeigh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T317" s="34"/>
    </row>
    <row r="318" spans="2:20" ht="15" customHeigh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T318" s="34"/>
    </row>
    <row r="319" spans="2:20" ht="15" customHeigh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T319" s="34"/>
    </row>
    <row r="320" spans="2:20" ht="15" customHeigh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T320" s="34"/>
    </row>
    <row r="321" spans="2:20" ht="15" customHeigh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T321" s="34"/>
    </row>
    <row r="322" spans="2:20" ht="15" customHeigh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T322" s="34"/>
    </row>
    <row r="323" spans="2:20" ht="15" customHeigh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T323" s="34"/>
    </row>
    <row r="324" spans="2:20" ht="15" customHeigh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T324" s="34"/>
    </row>
    <row r="325" spans="2:20" ht="15" customHeigh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T325" s="34"/>
    </row>
    <row r="326" spans="2:20" ht="15" customHeigh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T326" s="34"/>
    </row>
    <row r="327" spans="2:20" ht="15" customHeigh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T327" s="34"/>
    </row>
    <row r="328" spans="2:20" ht="15" customHeigh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T328" s="34"/>
    </row>
    <row r="329" spans="2:20" ht="15" customHeigh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T329" s="34"/>
    </row>
    <row r="330" spans="2:20" ht="15" customHeigh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T330" s="34"/>
    </row>
    <row r="331" spans="2:20" ht="15" customHeigh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T331" s="34"/>
    </row>
    <row r="332" spans="2:20" ht="15" customHeigh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T332" s="34"/>
    </row>
    <row r="333" spans="2:20" ht="15" customHeigh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T333" s="34"/>
    </row>
    <row r="334" spans="2:20" ht="15" customHeigh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T334" s="34"/>
    </row>
    <row r="335" spans="2:20" ht="15" customHeigh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T335" s="34"/>
    </row>
    <row r="336" spans="2:20" ht="15" customHeigh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T336" s="34"/>
    </row>
    <row r="337" spans="2:20" ht="15" customHeigh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T337" s="34"/>
    </row>
    <row r="338" spans="2:20" ht="15" customHeigh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T338" s="34"/>
    </row>
    <row r="339" spans="2:20" ht="15" customHeigh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T339" s="34"/>
    </row>
    <row r="340" spans="2:20" ht="15" customHeigh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T340" s="34"/>
    </row>
    <row r="341" spans="2:20" ht="15" customHeigh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T341" s="34"/>
    </row>
    <row r="342" spans="2:20" ht="15" customHeigh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T342" s="34"/>
    </row>
    <row r="343" spans="2:20" ht="15" customHeigh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T343" s="34"/>
    </row>
    <row r="344" spans="2:20" ht="15" customHeigh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T344" s="34"/>
    </row>
    <row r="345" spans="2:20" ht="15" customHeigh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T345" s="34"/>
    </row>
    <row r="346" spans="2:20" ht="15" customHeigh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T346" s="34"/>
    </row>
    <row r="347" spans="2:20" ht="15" customHeigh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T347" s="34"/>
    </row>
    <row r="348" spans="2:20" ht="15" customHeigh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T348" s="34"/>
    </row>
    <row r="349" spans="2:20" ht="15" customHeigh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T349" s="34"/>
    </row>
    <row r="350" spans="2:20" ht="15" customHeigh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T350" s="34"/>
    </row>
    <row r="351" spans="2:20" ht="15" customHeigh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T351" s="34"/>
    </row>
    <row r="352" spans="2:20" ht="15" customHeigh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T352" s="34"/>
    </row>
    <row r="353" spans="2:20" ht="15" customHeigh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T353" s="34"/>
    </row>
    <row r="354" spans="2:20" ht="15" customHeigh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T354" s="34"/>
    </row>
    <row r="355" spans="2:20" ht="15" customHeigh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T355" s="34"/>
    </row>
    <row r="356" spans="2:20" ht="15" customHeigh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T356" s="34"/>
    </row>
    <row r="357" spans="2:20" ht="15" customHeigh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T357" s="34"/>
    </row>
    <row r="358" spans="2:20" ht="15" customHeigh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T358" s="34"/>
    </row>
    <row r="359" spans="2:20" ht="15" customHeigh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T359" s="34"/>
    </row>
    <row r="360" spans="2:20" ht="15" customHeigh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T360" s="34"/>
    </row>
    <row r="361" spans="2:20" ht="15" customHeigh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T361" s="34"/>
    </row>
    <row r="362" spans="2:20" ht="15" customHeigh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T362" s="34"/>
    </row>
    <row r="363" spans="2:20" ht="15" customHeigh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T363" s="34"/>
    </row>
    <row r="364" spans="2:20" ht="15" customHeigh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T364" s="34"/>
    </row>
    <row r="365" spans="2:20" ht="15" customHeigh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T365" s="34"/>
    </row>
    <row r="366" spans="2:20" ht="15" customHeigh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T366" s="34"/>
    </row>
    <row r="367" spans="2:20" ht="15" customHeigh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T367" s="34"/>
    </row>
    <row r="368" spans="2:20" ht="15" customHeigh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T368" s="34"/>
    </row>
    <row r="369" spans="2:20" ht="15" customHeigh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T369" s="34"/>
    </row>
    <row r="370" spans="2:20" ht="15" customHeigh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T370" s="34"/>
    </row>
    <row r="371" spans="2:20" ht="15" customHeigh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T371" s="34"/>
    </row>
    <row r="372" spans="2:20" ht="15" customHeigh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T372" s="34"/>
    </row>
    <row r="373" spans="2:20" ht="15" customHeigh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T373" s="34"/>
    </row>
    <row r="374" spans="2:20" ht="15" customHeigh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T374" s="34"/>
    </row>
    <row r="375" spans="2:20" ht="15" customHeigh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T375" s="34"/>
    </row>
    <row r="376" spans="2:20" ht="15" customHeigh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T376" s="34"/>
    </row>
    <row r="377" spans="2:20" ht="15" customHeigh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T377" s="34"/>
    </row>
    <row r="378" spans="2:20" ht="15" customHeigh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T378" s="34"/>
    </row>
    <row r="379" spans="2:20" ht="15" customHeigh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T379" s="34"/>
    </row>
    <row r="380" spans="2:20" ht="15" customHeigh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T380" s="34"/>
    </row>
    <row r="381" spans="2:20" ht="15" customHeigh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T381" s="34"/>
    </row>
    <row r="382" spans="2:20" ht="15" customHeigh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T382" s="34"/>
    </row>
    <row r="383" spans="2:20" ht="15" customHeigh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T383" s="34"/>
    </row>
    <row r="384" spans="2:20" ht="15" customHeigh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T384" s="34"/>
    </row>
    <row r="385" spans="2:20" ht="15" customHeigh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T385" s="34"/>
    </row>
    <row r="386" spans="2:20" ht="15" customHeigh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T386" s="34"/>
    </row>
    <row r="387" spans="2:20" ht="15" customHeigh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T387" s="34"/>
    </row>
    <row r="388" spans="2:20" ht="15" customHeigh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T388" s="34"/>
    </row>
    <row r="389" spans="2:20" ht="15" customHeigh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T389" s="34"/>
    </row>
    <row r="390" spans="2:20" ht="15" customHeigh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T390" s="34"/>
    </row>
    <row r="391" spans="2:20" ht="15" customHeigh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T391" s="34"/>
    </row>
    <row r="392" spans="2:20" ht="15" customHeigh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T392" s="34"/>
    </row>
    <row r="393" spans="2:20" ht="15" customHeigh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T393" s="34"/>
    </row>
    <row r="394" spans="2:20" ht="15" customHeigh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T394" s="34"/>
    </row>
    <row r="395" spans="2:20" ht="15" customHeigh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T395" s="34"/>
    </row>
    <row r="396" spans="2:20" ht="15" customHeigh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T396" s="34"/>
    </row>
    <row r="397" spans="2:20" ht="15" customHeigh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T397" s="34"/>
    </row>
    <row r="398" spans="2:20" ht="15" customHeigh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T398" s="34"/>
    </row>
    <row r="399" spans="2:20" ht="15" customHeigh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T399" s="34"/>
    </row>
    <row r="400" spans="2:20" ht="15" customHeigh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T400" s="34"/>
    </row>
    <row r="401" spans="2:20" ht="15" customHeigh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T401" s="34"/>
    </row>
    <row r="402" spans="2:20" ht="15" customHeigh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T402" s="34"/>
    </row>
    <row r="403" spans="2:20" ht="15" customHeigh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T403" s="34"/>
    </row>
    <row r="404" spans="2:20" ht="15" customHeigh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T404" s="34"/>
    </row>
    <row r="405" spans="2:20" ht="15" customHeigh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T405" s="34"/>
    </row>
    <row r="406" spans="2:20" ht="15" customHeigh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T406" s="34"/>
    </row>
    <row r="407" spans="2:20" ht="15" customHeigh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T407" s="34"/>
    </row>
    <row r="408" spans="2:20" ht="15" customHeigh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T408" s="34"/>
    </row>
    <row r="409" spans="2:20" ht="15" customHeigh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T409" s="34"/>
    </row>
    <row r="410" spans="2:20" ht="15" customHeigh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T410" s="34"/>
    </row>
    <row r="411" spans="2:20" ht="15" customHeigh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T411" s="34"/>
    </row>
    <row r="412" spans="2:20" ht="15" customHeigh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T412" s="34"/>
    </row>
    <row r="413" spans="2:20" ht="15" customHeigh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T413" s="34"/>
    </row>
    <row r="414" spans="2:20" ht="15" customHeigh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T414" s="34"/>
    </row>
    <row r="415" spans="2:20" ht="15" customHeigh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T415" s="34"/>
    </row>
    <row r="416" spans="2:20" ht="15" customHeigh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T416" s="34"/>
    </row>
    <row r="417" spans="2:20" ht="15" customHeigh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T417" s="34"/>
    </row>
    <row r="418" spans="2:20" ht="15" customHeigh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T418" s="34"/>
    </row>
    <row r="419" spans="2:20" ht="15" customHeigh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T419" s="34"/>
    </row>
    <row r="420" spans="2:20" ht="15" customHeigh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T420" s="34"/>
    </row>
    <row r="421" spans="2:20" ht="15" customHeigh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T421" s="34"/>
    </row>
    <row r="422" spans="2:20" ht="15" customHeigh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T422" s="34"/>
    </row>
    <row r="423" spans="2:20" ht="15" customHeigh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T423" s="34"/>
    </row>
    <row r="424" spans="2:20" ht="15" customHeigh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T424" s="34"/>
    </row>
    <row r="425" spans="2:20" ht="15" customHeigh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T425" s="34"/>
    </row>
    <row r="426" spans="2:20" ht="15" customHeigh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T426" s="34"/>
    </row>
    <row r="427" spans="2:20" ht="15" customHeigh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T427" s="34"/>
    </row>
    <row r="428" spans="2:20" ht="15" customHeigh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T428" s="34"/>
    </row>
    <row r="429" spans="2:20" ht="15" customHeigh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T429" s="34"/>
    </row>
    <row r="430" spans="2:20" ht="15" customHeigh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T430" s="34"/>
    </row>
    <row r="431" spans="2:20" ht="15" customHeigh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T431" s="34"/>
    </row>
    <row r="432" spans="2:20" ht="15" customHeigh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T432" s="34"/>
    </row>
    <row r="433" spans="2:20" ht="15" customHeigh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T433" s="34"/>
    </row>
    <row r="434" spans="2:20" ht="15" customHeigh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T434" s="34"/>
    </row>
    <row r="435" spans="2:20" ht="15" customHeigh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T435" s="34"/>
    </row>
    <row r="436" spans="2:20" ht="15" customHeigh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T436" s="34"/>
    </row>
    <row r="437" spans="2:20" ht="15" customHeigh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T437" s="34"/>
    </row>
    <row r="438" spans="2:20" ht="15" customHeigh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T438" s="34"/>
    </row>
    <row r="439" spans="2:20" ht="15" customHeigh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T439" s="34"/>
    </row>
    <row r="440" spans="2:20" ht="15" customHeigh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T440" s="34"/>
    </row>
    <row r="441" spans="2:20" ht="15" customHeigh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T441" s="34"/>
    </row>
    <row r="442" spans="2:20" ht="15" customHeigh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T442" s="34"/>
    </row>
    <row r="443" spans="2:20" ht="15" customHeigh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T443" s="34"/>
    </row>
    <row r="444" spans="2:20" ht="15" customHeigh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T444" s="34"/>
    </row>
    <row r="445" spans="2:20" ht="15" customHeigh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T445" s="34"/>
    </row>
    <row r="446" spans="2:20" ht="15" customHeigh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T446" s="34"/>
    </row>
    <row r="447" spans="2:20" ht="15" customHeigh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T447" s="34"/>
    </row>
    <row r="448" spans="2:20" ht="15" customHeigh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T448" s="34"/>
    </row>
    <row r="449" spans="2:20" ht="15" customHeigh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T449" s="34"/>
    </row>
    <row r="450" spans="2:20" ht="15" customHeigh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T450" s="34"/>
    </row>
    <row r="451" spans="2:20" ht="15" customHeigh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T451" s="34"/>
    </row>
    <row r="452" spans="2:20" ht="15" customHeigh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T452" s="34"/>
    </row>
    <row r="453" spans="2:20" ht="15" customHeigh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T453" s="34"/>
    </row>
    <row r="454" spans="2:20" ht="15" customHeigh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T454" s="34"/>
    </row>
    <row r="455" spans="2:20" ht="15" customHeigh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T455" s="34"/>
    </row>
    <row r="456" spans="2:20" ht="15" customHeigh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T456" s="34"/>
    </row>
    <row r="457" spans="2:20" ht="15" customHeigh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T457" s="34"/>
    </row>
    <row r="458" spans="2:20" ht="15" customHeigh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T458" s="34"/>
    </row>
    <row r="459" spans="2:20" ht="15" customHeigh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T459" s="34"/>
    </row>
    <row r="460" spans="2:20" ht="15" customHeigh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T460" s="34"/>
    </row>
    <row r="461" spans="2:20" ht="15" customHeigh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T461" s="34"/>
    </row>
    <row r="462" spans="2:20" ht="15" customHeigh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T462" s="34"/>
    </row>
    <row r="463" spans="2:20" ht="15" customHeigh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T463" s="34"/>
    </row>
    <row r="464" spans="2:20" ht="15" customHeigh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T464" s="34"/>
    </row>
    <row r="465" spans="2:20" ht="15" customHeigh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T465" s="34"/>
    </row>
    <row r="466" spans="2:20" ht="15" customHeigh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T466" s="34"/>
    </row>
    <row r="467" spans="2:20" ht="15" customHeigh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T467" s="34"/>
    </row>
    <row r="468" spans="2:20" ht="15" customHeigh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T468" s="34"/>
    </row>
    <row r="469" spans="2:20" ht="15" customHeigh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T469" s="34"/>
    </row>
    <row r="470" spans="2:20" ht="15" customHeigh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T470" s="34"/>
    </row>
    <row r="471" spans="2:20" ht="15" customHeigh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T471" s="34"/>
    </row>
    <row r="472" spans="2:20" ht="15" customHeigh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T472" s="34"/>
    </row>
    <row r="473" spans="2:20" ht="15" customHeigh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T473" s="34"/>
    </row>
    <row r="474" spans="2:20" ht="15" customHeigh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T474" s="34"/>
    </row>
    <row r="475" spans="2:20" ht="15" customHeigh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T475" s="34"/>
    </row>
    <row r="476" spans="2:20" ht="15" customHeigh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T476" s="34"/>
    </row>
    <row r="477" spans="2:20" ht="15" customHeigh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T477" s="34"/>
    </row>
    <row r="478" spans="2:20" ht="15" customHeigh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T478" s="34"/>
    </row>
    <row r="479" spans="2:20" ht="15" customHeigh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T479" s="34"/>
    </row>
    <row r="480" spans="2:20" ht="15" customHeigh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T480" s="34"/>
    </row>
    <row r="481" spans="2:20" ht="15" customHeigh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T481" s="34"/>
    </row>
    <row r="482" spans="2:20" ht="15" customHeigh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T482" s="34"/>
    </row>
    <row r="483" spans="2:20" ht="15" customHeigh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T483" s="34"/>
    </row>
    <row r="484" spans="2:20" ht="15" customHeigh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T484" s="34"/>
    </row>
    <row r="485" spans="2:20" ht="15" customHeigh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T485" s="34"/>
    </row>
    <row r="486" spans="2:20" ht="15" customHeigh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T486" s="34"/>
    </row>
    <row r="487" spans="2:20" ht="15" customHeigh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T487" s="34"/>
    </row>
    <row r="488" spans="2:20" ht="15" customHeigh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T488" s="34"/>
    </row>
    <row r="489" spans="2:20" ht="15" customHeigh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T489" s="34"/>
    </row>
    <row r="490" spans="2:20" ht="15" customHeigh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T490" s="34"/>
    </row>
    <row r="491" spans="2:20" ht="15" customHeigh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T491" s="34"/>
    </row>
    <row r="492" spans="2:20" ht="15" customHeigh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T492" s="34"/>
    </row>
    <row r="493" spans="2:20" ht="15" customHeigh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T493" s="34"/>
    </row>
    <row r="494" spans="2:20" ht="15" customHeigh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T494" s="34"/>
    </row>
    <row r="495" spans="2:20" ht="15" customHeigh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T495" s="34"/>
    </row>
    <row r="496" spans="2:20" ht="15" customHeigh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T496" s="34"/>
    </row>
    <row r="497" spans="2:20" ht="15" customHeigh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T497" s="34"/>
    </row>
    <row r="498" spans="2:20" ht="15" customHeigh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T498" s="34"/>
    </row>
    <row r="499" spans="2:20" ht="15" customHeigh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T499" s="34"/>
    </row>
    <row r="500" spans="2:20" ht="15" customHeigh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T500" s="34"/>
    </row>
    <row r="501" spans="2:20" ht="15" customHeigh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T501" s="34"/>
    </row>
    <row r="502" spans="2:20" ht="15" customHeigh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T502" s="34"/>
    </row>
    <row r="503" spans="2:20" ht="15" customHeigh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T503" s="34"/>
    </row>
    <row r="504" spans="2:20" ht="15" customHeigh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T504" s="34"/>
    </row>
    <row r="505" spans="2:20" ht="15" customHeigh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T505" s="34"/>
    </row>
    <row r="506" spans="2:20" ht="15" customHeigh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T506" s="34"/>
    </row>
    <row r="507" spans="2:20" ht="15" customHeigh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T507" s="34"/>
    </row>
    <row r="508" spans="2:20" ht="15" customHeigh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T508" s="34"/>
    </row>
    <row r="509" spans="2:20" ht="15" customHeigh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T509" s="34"/>
    </row>
    <row r="510" spans="2:20" ht="15" customHeigh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T510" s="34"/>
    </row>
    <row r="511" spans="2:20" ht="15" customHeigh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T511" s="34"/>
    </row>
    <row r="512" spans="2:20" ht="15" customHeigh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T512" s="34"/>
    </row>
    <row r="513" spans="2:20" ht="15" customHeigh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T513" s="34"/>
    </row>
    <row r="514" spans="2:20" ht="15" customHeigh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T514" s="34"/>
    </row>
    <row r="515" spans="2:20" ht="15" customHeigh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T515" s="34"/>
    </row>
    <row r="516" spans="2:20" ht="15" customHeigh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T516" s="34"/>
    </row>
    <row r="517" spans="2:20" ht="15" customHeigh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T517" s="34"/>
    </row>
    <row r="518" spans="2:20" ht="15" customHeigh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T518" s="34"/>
    </row>
    <row r="519" spans="2:20" ht="15" customHeigh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T519" s="34"/>
    </row>
    <row r="520" spans="2:20" ht="15" customHeigh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T520" s="34"/>
    </row>
    <row r="521" spans="2:20" ht="15" customHeigh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T521" s="34"/>
    </row>
    <row r="522" spans="2:20" ht="15" customHeigh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T522" s="34"/>
    </row>
    <row r="523" spans="2:20" ht="15" customHeigh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T523" s="34"/>
    </row>
    <row r="524" spans="2:20" ht="15" customHeigh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T524" s="34"/>
    </row>
    <row r="525" spans="2:20" ht="15" customHeigh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T525" s="34"/>
    </row>
    <row r="526" spans="2:20" ht="15" customHeigh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T526" s="34"/>
    </row>
    <row r="527" spans="2:20" ht="15" customHeigh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T527" s="34"/>
    </row>
    <row r="528" spans="2:20" ht="15" customHeigh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T528" s="34"/>
    </row>
    <row r="529" spans="2:20" ht="15" customHeigh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T529" s="34"/>
    </row>
    <row r="530" spans="2:20" ht="15" customHeigh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T530" s="34"/>
    </row>
    <row r="531" spans="2:20" ht="15" customHeigh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T531" s="34"/>
    </row>
    <row r="532" spans="2:20" ht="15" customHeigh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T532" s="34"/>
    </row>
    <row r="533" spans="2:20" ht="15" customHeigh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T533" s="34"/>
    </row>
    <row r="534" spans="2:20" ht="15" customHeigh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T534" s="34"/>
    </row>
    <row r="535" spans="2:20" ht="15" customHeigh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T535" s="34"/>
    </row>
    <row r="536" spans="2:20" ht="15" customHeigh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T536" s="34"/>
    </row>
    <row r="537" spans="2:20" ht="15" customHeigh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T537" s="34"/>
    </row>
    <row r="538" spans="2:20" ht="15" customHeigh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T538" s="34"/>
    </row>
    <row r="539" spans="2:20" ht="15" customHeigh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T539" s="34"/>
    </row>
    <row r="540" spans="2:20" ht="15" customHeigh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T540" s="34"/>
    </row>
    <row r="541" spans="2:20" ht="15" customHeigh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T541" s="34"/>
    </row>
    <row r="542" spans="2:20" ht="15" customHeigh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T542" s="34"/>
    </row>
    <row r="543" spans="2:20" ht="15" customHeigh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T543" s="34"/>
    </row>
    <row r="544" spans="2:20" ht="15" customHeigh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T544" s="34"/>
    </row>
    <row r="545" spans="2:20" ht="15" customHeigh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T545" s="34"/>
    </row>
    <row r="546" spans="2:20" ht="15" customHeigh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T546" s="34"/>
    </row>
    <row r="547" spans="2:20" ht="15" customHeigh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T547" s="34"/>
    </row>
    <row r="548" spans="2:20" ht="15" customHeigh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T548" s="34"/>
    </row>
    <row r="549" spans="2:20" ht="15" customHeigh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T549" s="34"/>
    </row>
    <row r="550" spans="2:20" ht="15" customHeigh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T550" s="34"/>
    </row>
    <row r="551" spans="2:20" ht="15" customHeigh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T551" s="34"/>
    </row>
    <row r="552" spans="2:20" ht="15" customHeigh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T552" s="34"/>
    </row>
    <row r="553" spans="2:20" ht="15" customHeigh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T553" s="34"/>
    </row>
    <row r="554" spans="2:20" ht="15" customHeigh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T554" s="34"/>
    </row>
    <row r="555" spans="2:20" ht="15" customHeigh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T555" s="34"/>
    </row>
    <row r="556" spans="2:20" ht="15" customHeigh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T556" s="34"/>
    </row>
    <row r="557" spans="2:20" ht="15" customHeigh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T557" s="34"/>
    </row>
    <row r="558" spans="2:20" ht="15" customHeigh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T558" s="34"/>
    </row>
    <row r="559" spans="2:20" ht="15" customHeigh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T559" s="34"/>
    </row>
    <row r="560" spans="2:20" ht="15" customHeigh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T560" s="34"/>
    </row>
    <row r="561" spans="2:20" ht="15" customHeigh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T561" s="34"/>
    </row>
    <row r="562" spans="2:20" ht="15" customHeigh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T562" s="34"/>
    </row>
    <row r="563" spans="2:20" ht="15" customHeigh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T563" s="34"/>
    </row>
    <row r="564" spans="2:20" ht="15" customHeigh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T564" s="34"/>
    </row>
    <row r="565" spans="2:20" ht="15" customHeigh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T565" s="34"/>
    </row>
    <row r="566" spans="2:20" ht="15" customHeigh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T566" s="34"/>
    </row>
    <row r="567" spans="2:20" ht="15" customHeigh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T567" s="34"/>
    </row>
    <row r="568" spans="2:20" ht="15" customHeigh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T568" s="34"/>
    </row>
    <row r="569" spans="2:20" ht="15" customHeigh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T569" s="34"/>
    </row>
    <row r="570" spans="2:20" ht="15" customHeigh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T570" s="34"/>
    </row>
    <row r="571" spans="2:20" ht="15" customHeigh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T571" s="34"/>
    </row>
    <row r="572" spans="2:20" ht="15" customHeigh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T572" s="34"/>
    </row>
    <row r="573" spans="2:20" ht="15" customHeigh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T573" s="34"/>
    </row>
    <row r="574" spans="2:20" ht="15" customHeigh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T574" s="34"/>
    </row>
    <row r="575" spans="2:20" ht="15" customHeigh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T575" s="34"/>
    </row>
    <row r="576" spans="2:20" ht="15" customHeigh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T576" s="34"/>
    </row>
    <row r="577" spans="2:20" ht="15" customHeigh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T577" s="34"/>
    </row>
    <row r="578" spans="2:20" ht="15" customHeigh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T578" s="34"/>
    </row>
    <row r="579" spans="2:20" ht="15" customHeigh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T579" s="34"/>
    </row>
    <row r="580" spans="2:20" ht="15" customHeigh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T580" s="34"/>
    </row>
    <row r="581" spans="2:20" ht="15" customHeigh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T581" s="34"/>
    </row>
    <row r="582" spans="2:20" ht="15" customHeigh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T582" s="34"/>
    </row>
    <row r="583" spans="2:20" ht="15" customHeigh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T583" s="34"/>
    </row>
    <row r="584" spans="2:20" ht="15" customHeigh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T584" s="34"/>
    </row>
    <row r="585" spans="2:20" ht="15" customHeigh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T585" s="34"/>
    </row>
    <row r="586" spans="2:20" ht="15" customHeigh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T586" s="34"/>
    </row>
    <row r="587" spans="2:20" ht="15" customHeigh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T587" s="34"/>
    </row>
    <row r="588" spans="2:20" ht="15" customHeigh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T588" s="34"/>
    </row>
    <row r="589" spans="2:20" ht="15" customHeigh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T589" s="34"/>
    </row>
    <row r="590" spans="2:20" ht="15" customHeigh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T590" s="34"/>
    </row>
    <row r="591" spans="2:20" ht="15" customHeigh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T591" s="34"/>
    </row>
    <row r="592" spans="2:20" ht="15" customHeigh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T592" s="34"/>
    </row>
    <row r="593" spans="2:20" ht="15" customHeigh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T593" s="34"/>
    </row>
    <row r="594" spans="2:20" ht="15" customHeigh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T594" s="34"/>
    </row>
    <row r="595" spans="2:20" ht="15" customHeigh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T595" s="34"/>
    </row>
    <row r="596" spans="2:20" ht="15" customHeigh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T596" s="34"/>
    </row>
    <row r="597" spans="2:20" ht="15" customHeigh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T597" s="34"/>
    </row>
    <row r="598" spans="2:20" ht="15" customHeigh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T598" s="34"/>
    </row>
    <row r="599" spans="2:20" ht="15" customHeigh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T599" s="34"/>
    </row>
    <row r="600" spans="2:20" ht="15" customHeigh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T600" s="34"/>
    </row>
    <row r="601" spans="2:20" ht="15" customHeigh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T601" s="34"/>
    </row>
    <row r="602" spans="2:20" ht="15" customHeigh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T602" s="34"/>
    </row>
    <row r="603" spans="2:20" ht="15" customHeigh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T603" s="34"/>
    </row>
    <row r="604" spans="2:20" ht="15" customHeigh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T604" s="34"/>
    </row>
    <row r="605" spans="2:20" ht="15" customHeigh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T605" s="34"/>
    </row>
    <row r="606" spans="2:20" ht="15" customHeigh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T606" s="34"/>
    </row>
    <row r="607" spans="2:20" ht="15" customHeigh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T607" s="34"/>
    </row>
    <row r="608" spans="2:20" ht="15" customHeigh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T608" s="34"/>
    </row>
    <row r="609" spans="2:20" ht="15" customHeigh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T609" s="34"/>
    </row>
    <row r="610" spans="2:20" ht="15" customHeigh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T610" s="34"/>
    </row>
    <row r="611" spans="2:20" ht="15" customHeigh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T611" s="34"/>
    </row>
    <row r="612" spans="2:20" ht="15" customHeigh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T612" s="34"/>
    </row>
    <row r="613" spans="2:20" ht="15" customHeigh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T613" s="34"/>
    </row>
    <row r="614" spans="2:20" ht="15" customHeigh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T614" s="34"/>
    </row>
    <row r="615" spans="2:20" ht="15" customHeigh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T615" s="34"/>
    </row>
    <row r="616" spans="2:20" ht="15" customHeigh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T616" s="34"/>
    </row>
    <row r="617" spans="2:20" ht="15" customHeigh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T617" s="34"/>
    </row>
    <row r="618" spans="2:20" ht="15" customHeigh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T618" s="34"/>
    </row>
    <row r="619" spans="2:20" ht="15" customHeigh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T619" s="34"/>
    </row>
    <row r="620" spans="2:20" ht="15" customHeigh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T620" s="34"/>
    </row>
    <row r="621" spans="2:20" ht="15" customHeigh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T621" s="34"/>
    </row>
    <row r="622" spans="2:20" ht="15" customHeigh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T622" s="34"/>
    </row>
    <row r="623" spans="2:20" ht="15" customHeigh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T623" s="34"/>
    </row>
    <row r="624" spans="2:20" ht="15" customHeigh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T624" s="34"/>
    </row>
    <row r="625" spans="2:20" ht="15" customHeigh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T625" s="34"/>
    </row>
    <row r="626" spans="2:20" ht="15" customHeigh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T626" s="34"/>
    </row>
    <row r="627" spans="2:20" ht="15" customHeigh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T627" s="34"/>
    </row>
    <row r="628" spans="2:20" ht="15" customHeigh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T628" s="34"/>
    </row>
    <row r="629" spans="2:20" ht="15" customHeigh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T629" s="34"/>
    </row>
    <row r="630" spans="2:20" ht="15" customHeigh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T630" s="34"/>
    </row>
    <row r="631" spans="2:20" ht="15" customHeigh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T631" s="34"/>
    </row>
    <row r="632" spans="2:20" ht="15" customHeigh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T632" s="34"/>
    </row>
    <row r="633" spans="2:20" ht="15" customHeigh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T633" s="34"/>
    </row>
    <row r="634" spans="2:20" ht="15" customHeigh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T634" s="34"/>
    </row>
    <row r="635" spans="2:20" ht="15" customHeigh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T635" s="34"/>
    </row>
    <row r="636" spans="2:20" ht="15" customHeigh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T636" s="34"/>
    </row>
    <row r="637" spans="2:20" ht="15" customHeigh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T637" s="34"/>
    </row>
    <row r="638" spans="2:20" ht="15" customHeigh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T638" s="34"/>
    </row>
    <row r="639" spans="2:20" ht="15" customHeigh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T639" s="34"/>
    </row>
    <row r="640" spans="2:20" ht="15" customHeigh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T640" s="34"/>
    </row>
    <row r="641" spans="2:20" ht="15" customHeigh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T641" s="34"/>
    </row>
    <row r="642" spans="2:20" ht="15" customHeigh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T642" s="34"/>
    </row>
    <row r="643" spans="2:20" ht="15" customHeigh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T643" s="34"/>
    </row>
    <row r="644" spans="2:20" ht="15" customHeigh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T644" s="34"/>
    </row>
    <row r="645" spans="2:20" ht="15" customHeigh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T645" s="34"/>
    </row>
    <row r="646" spans="2:20" ht="15" customHeigh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T646" s="34"/>
    </row>
    <row r="647" spans="2:20" ht="15" customHeigh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T647" s="34"/>
    </row>
    <row r="648" spans="2:20" ht="15" customHeigh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T648" s="34"/>
    </row>
    <row r="649" spans="2:20" ht="15" customHeigh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T649" s="34"/>
    </row>
    <row r="650" spans="2:20" ht="15" customHeigh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T650" s="34"/>
    </row>
    <row r="651" spans="2:20" ht="15" customHeigh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T651" s="34"/>
    </row>
    <row r="652" spans="2:20" ht="15" customHeigh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T652" s="34"/>
    </row>
    <row r="653" spans="2:20" ht="15" customHeigh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T653" s="34"/>
    </row>
    <row r="654" spans="2:20" ht="15" customHeigh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T654" s="34"/>
    </row>
    <row r="655" spans="2:20" ht="15" customHeigh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T655" s="34"/>
    </row>
    <row r="656" spans="2:20" ht="15" customHeigh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T656" s="34"/>
    </row>
    <row r="657" spans="2:20" ht="15" customHeigh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T657" s="34"/>
    </row>
    <row r="658" spans="2:20" ht="15" customHeigh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T658" s="34"/>
    </row>
    <row r="659" spans="2:20" ht="15" customHeigh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T659" s="34"/>
    </row>
    <row r="660" spans="2:20" ht="15" customHeigh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T660" s="34"/>
    </row>
    <row r="661" spans="2:20" ht="15" customHeigh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T661" s="34"/>
    </row>
    <row r="662" spans="2:20" ht="15" customHeigh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T662" s="34"/>
    </row>
    <row r="663" spans="2:20" ht="15" customHeigh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T663" s="34"/>
    </row>
    <row r="664" spans="2:20" ht="15" customHeigh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T664" s="34"/>
    </row>
    <row r="665" spans="2:20" ht="15" customHeigh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T665" s="34"/>
    </row>
    <row r="666" spans="2:20" ht="15" customHeigh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T666" s="34"/>
    </row>
    <row r="667" spans="2:20" ht="15" customHeigh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T667" s="34"/>
    </row>
    <row r="668" spans="2:20" ht="15" customHeigh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T668" s="34"/>
    </row>
    <row r="669" spans="2:20" ht="15" customHeigh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T669" s="34"/>
    </row>
    <row r="670" spans="2:20" ht="15" customHeigh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T670" s="34"/>
    </row>
    <row r="671" spans="2:20" ht="15" customHeigh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T671" s="34"/>
    </row>
    <row r="672" spans="2:20" ht="15" customHeigh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T672" s="34"/>
    </row>
    <row r="673" spans="2:20" ht="15" customHeigh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T673" s="34"/>
    </row>
    <row r="674" spans="2:20" ht="15" customHeigh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T674" s="34"/>
    </row>
    <row r="675" spans="2:20" ht="15" customHeigh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T675" s="34"/>
    </row>
    <row r="676" spans="2:20" ht="15" customHeigh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T676" s="34"/>
    </row>
    <row r="677" spans="2:20" ht="15" customHeigh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T677" s="34"/>
    </row>
    <row r="678" spans="2:20" ht="15" customHeigh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T678" s="34"/>
    </row>
    <row r="679" spans="2:20" ht="15" customHeigh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T679" s="34"/>
    </row>
    <row r="680" spans="2:20" ht="15" customHeigh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T680" s="34"/>
    </row>
    <row r="681" spans="2:20" ht="15" customHeigh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T681" s="34"/>
    </row>
    <row r="682" spans="2:20" ht="15" customHeigh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T682" s="34"/>
    </row>
    <row r="683" spans="2:20" ht="15" customHeigh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T683" s="34"/>
    </row>
    <row r="684" spans="2:20" ht="15" customHeigh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T684" s="34"/>
    </row>
    <row r="685" spans="2:20" ht="15" customHeigh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T685" s="34"/>
    </row>
    <row r="686" spans="2:20" ht="15" customHeigh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T686" s="34"/>
    </row>
    <row r="687" spans="2:20" ht="15" customHeigh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T687" s="34"/>
    </row>
    <row r="688" spans="2:20" ht="15" customHeigh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T688" s="34"/>
    </row>
    <row r="689" spans="2:20" ht="15" customHeigh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T689" s="34"/>
    </row>
    <row r="690" spans="2:20" ht="15" customHeigh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T690" s="34"/>
    </row>
    <row r="691" spans="2:20" ht="15" customHeigh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T691" s="34"/>
    </row>
    <row r="692" spans="2:20" ht="15" customHeigh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T692" s="34"/>
    </row>
    <row r="693" spans="2:20" ht="15" customHeigh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T693" s="34"/>
    </row>
    <row r="694" spans="2:20" ht="15" customHeigh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T694" s="34"/>
    </row>
    <row r="695" spans="2:20" ht="15" customHeigh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T695" s="34"/>
    </row>
    <row r="696" spans="2:20" ht="15" customHeigh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T696" s="34"/>
    </row>
    <row r="697" spans="2:20" ht="15" customHeigh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T697" s="34"/>
    </row>
    <row r="698" spans="2:20" ht="15" customHeigh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T698" s="34"/>
    </row>
    <row r="699" spans="2:20" ht="15" customHeigh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T699" s="34"/>
    </row>
    <row r="700" spans="2:20" ht="15" customHeigh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T700" s="34"/>
    </row>
    <row r="701" spans="2:20" ht="15" customHeigh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T701" s="34"/>
    </row>
    <row r="702" spans="2:20" ht="15" customHeigh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T702" s="34"/>
    </row>
    <row r="703" spans="2:20" ht="15" customHeigh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T703" s="34"/>
    </row>
    <row r="704" spans="2:20" ht="15" customHeigh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T704" s="34"/>
    </row>
    <row r="705" spans="2:20" ht="15" customHeigh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T705" s="34"/>
    </row>
    <row r="706" spans="2:20" ht="15" customHeigh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T706" s="34"/>
    </row>
    <row r="707" spans="2:20" ht="15" customHeigh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T707" s="34"/>
    </row>
    <row r="708" spans="2:20" ht="15" customHeigh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T708" s="34"/>
    </row>
    <row r="709" spans="2:20" ht="15" customHeigh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T709" s="34"/>
    </row>
    <row r="710" spans="2:20" ht="15" customHeigh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T710" s="34"/>
    </row>
    <row r="711" spans="2:20" ht="15" customHeigh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T711" s="34"/>
    </row>
    <row r="712" spans="2:20" ht="15" customHeigh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T712" s="34"/>
    </row>
    <row r="713" spans="2:20" ht="15" customHeigh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T713" s="34"/>
    </row>
    <row r="714" spans="2:20" ht="15" customHeigh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T714" s="34"/>
    </row>
    <row r="715" spans="2:20" ht="15" customHeigh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T715" s="34"/>
    </row>
    <row r="716" spans="2:20" ht="15" customHeigh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T716" s="34"/>
    </row>
    <row r="717" spans="2:20" ht="15" customHeigh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T717" s="34"/>
    </row>
    <row r="718" spans="2:20" ht="15" customHeigh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T718" s="34"/>
    </row>
    <row r="719" spans="2:20" ht="15" customHeigh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T719" s="34"/>
    </row>
    <row r="720" spans="2:20" ht="15" customHeigh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T720" s="34"/>
    </row>
    <row r="721" spans="2:20" ht="15" customHeigh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T721" s="34"/>
    </row>
    <row r="722" spans="2:20" ht="15" customHeigh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T722" s="34"/>
    </row>
    <row r="723" spans="2:20" ht="15" customHeigh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T723" s="34"/>
    </row>
    <row r="724" spans="2:20" ht="15" customHeigh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T724" s="34"/>
    </row>
    <row r="725" spans="2:20" ht="15" customHeigh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T725" s="34"/>
    </row>
    <row r="726" spans="2:20" ht="15" customHeigh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T726" s="34"/>
    </row>
    <row r="727" spans="2:20" ht="15" customHeigh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T727" s="34"/>
    </row>
    <row r="728" spans="2:20" ht="15" customHeigh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T728" s="34"/>
    </row>
    <row r="729" spans="2:20" ht="15" customHeigh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T729" s="34"/>
    </row>
    <row r="730" spans="2:20" ht="15" customHeigh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T730" s="34"/>
    </row>
    <row r="731" spans="2:20" ht="15" customHeigh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T731" s="34"/>
    </row>
    <row r="732" spans="2:20" ht="15" customHeigh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T732" s="34"/>
    </row>
    <row r="733" spans="2:20" ht="15" customHeigh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T733" s="34"/>
    </row>
    <row r="734" spans="2:20" ht="15" customHeigh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T734" s="34"/>
    </row>
    <row r="735" spans="2:20" ht="15" customHeigh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T735" s="34"/>
    </row>
    <row r="736" spans="2:20" ht="15" customHeigh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T736" s="34"/>
    </row>
    <row r="737" spans="2:20" ht="15" customHeigh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T737" s="34"/>
    </row>
    <row r="738" spans="2:20" ht="15" customHeigh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T738" s="34"/>
    </row>
    <row r="739" spans="2:20" ht="15" customHeigh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T739" s="34"/>
    </row>
    <row r="740" spans="2:20" ht="15" customHeigh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T740" s="34"/>
    </row>
    <row r="741" spans="2:20" ht="15" customHeigh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T741" s="34"/>
    </row>
    <row r="742" spans="2:20" ht="15" customHeigh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T742" s="34"/>
    </row>
    <row r="743" spans="2:20" ht="15" customHeigh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T743" s="34"/>
    </row>
    <row r="744" spans="2:20" ht="15" customHeigh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T744" s="34"/>
    </row>
    <row r="745" spans="2:20" ht="15" customHeigh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T745" s="34"/>
    </row>
    <row r="746" spans="2:20" ht="15" customHeigh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T746" s="34"/>
    </row>
    <row r="747" spans="2:20" ht="15" customHeigh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T747" s="34"/>
    </row>
    <row r="748" spans="2:20" ht="15" customHeigh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T748" s="34"/>
    </row>
    <row r="749" spans="2:20" ht="15" customHeigh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T749" s="34"/>
    </row>
    <row r="750" spans="2:20" ht="15" customHeigh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T750" s="34"/>
    </row>
    <row r="751" spans="2:20" ht="15" customHeigh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T751" s="34"/>
    </row>
    <row r="752" spans="2:20" ht="15" customHeigh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T752" s="34"/>
    </row>
    <row r="753" spans="2:20" ht="15" customHeigh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T753" s="34"/>
    </row>
    <row r="754" spans="2:20" ht="15" customHeigh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T754" s="34"/>
    </row>
    <row r="755" spans="2:20" ht="15" customHeigh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T755" s="34"/>
    </row>
    <row r="756" spans="2:20" ht="15" customHeigh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T756" s="34"/>
    </row>
    <row r="757" spans="2:20" ht="15" customHeigh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T757" s="34"/>
    </row>
    <row r="758" spans="2:20" ht="15" customHeigh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T758" s="34"/>
    </row>
    <row r="759" spans="2:20" ht="15" customHeigh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T759" s="34"/>
    </row>
    <row r="760" spans="2:20" ht="15" customHeigh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T760" s="34"/>
    </row>
    <row r="761" spans="2:20" ht="15" customHeigh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T761" s="34"/>
    </row>
    <row r="762" spans="2:20" ht="15" customHeigh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T762" s="34"/>
    </row>
    <row r="763" spans="2:20" ht="15" customHeigh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T763" s="34"/>
    </row>
    <row r="764" spans="2:20" ht="15" customHeigh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T764" s="34"/>
    </row>
    <row r="765" spans="2:20" ht="15" customHeigh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T765" s="34"/>
    </row>
    <row r="766" spans="2:20" ht="15" customHeigh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T766" s="34"/>
    </row>
    <row r="767" spans="2:20" ht="15" customHeigh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T767" s="34"/>
    </row>
    <row r="768" spans="2:20" ht="15" customHeigh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T768" s="34"/>
    </row>
    <row r="769" spans="2:20" ht="15" customHeigh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T769" s="34"/>
    </row>
    <row r="770" spans="2:20" ht="15" customHeigh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T770" s="34"/>
    </row>
    <row r="771" spans="2:20" ht="15" customHeigh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T771" s="34"/>
    </row>
    <row r="772" spans="2:20" ht="15" customHeigh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T772" s="34"/>
    </row>
    <row r="773" spans="2:20" ht="15" customHeigh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T773" s="34"/>
    </row>
    <row r="774" spans="2:20" ht="15" customHeigh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T774" s="34"/>
    </row>
    <row r="775" spans="2:20" ht="15" customHeigh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T775" s="34"/>
    </row>
    <row r="776" spans="2:20" ht="15" customHeigh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T776" s="34"/>
    </row>
    <row r="777" spans="2:20" ht="15" customHeigh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T777" s="34"/>
    </row>
    <row r="778" spans="2:20" ht="15" customHeigh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T778" s="34"/>
    </row>
    <row r="779" spans="2:20" ht="15" customHeigh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T779" s="34"/>
    </row>
    <row r="780" spans="2:20" ht="15" customHeigh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T780" s="34"/>
    </row>
    <row r="781" spans="2:20" ht="15" customHeigh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T781" s="34"/>
    </row>
    <row r="782" spans="2:20" ht="15" customHeigh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T782" s="34"/>
    </row>
    <row r="783" spans="2:20" ht="15" customHeigh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T783" s="34"/>
    </row>
    <row r="784" spans="2:20" ht="15" customHeigh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T784" s="34"/>
    </row>
    <row r="785" spans="2:20" ht="15" customHeigh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T785" s="34"/>
    </row>
    <row r="786" spans="2:20" ht="15" customHeigh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T786" s="34"/>
    </row>
    <row r="787" spans="2:20" ht="15" customHeigh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T787" s="34"/>
    </row>
    <row r="788" spans="2:20" ht="15" customHeigh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T788" s="34"/>
    </row>
    <row r="789" spans="2:20" ht="15" customHeigh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T789" s="34"/>
    </row>
    <row r="790" spans="2:20" ht="15" customHeigh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T790" s="34"/>
    </row>
    <row r="791" spans="2:20" ht="15" customHeigh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T791" s="34"/>
    </row>
    <row r="792" spans="2:20" ht="15" customHeigh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T792" s="34"/>
    </row>
    <row r="793" spans="2:20" ht="15" customHeigh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T793" s="34"/>
    </row>
    <row r="794" spans="2:20" ht="15" customHeigh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T794" s="34"/>
    </row>
    <row r="795" spans="2:20" ht="15" customHeigh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T795" s="34"/>
    </row>
    <row r="796" spans="2:20" ht="15" customHeigh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T796" s="34"/>
    </row>
    <row r="797" spans="2:20" ht="15" customHeigh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T797" s="34"/>
    </row>
    <row r="798" spans="2:20" ht="15" customHeigh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T798" s="34"/>
    </row>
    <row r="799" spans="2:20" ht="15" customHeigh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T799" s="34"/>
    </row>
    <row r="800" spans="2:20" ht="15" customHeigh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T800" s="34"/>
    </row>
    <row r="801" spans="2:20" ht="15" customHeigh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T801" s="34"/>
    </row>
    <row r="802" spans="2:20" ht="15" customHeigh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T802" s="34"/>
    </row>
    <row r="803" spans="2:20" ht="15" customHeigh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T803" s="34"/>
    </row>
    <row r="804" spans="2:20" ht="15" customHeigh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T804" s="34"/>
    </row>
    <row r="805" spans="2:20" ht="15" customHeigh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T805" s="34"/>
    </row>
    <row r="806" spans="2:20" ht="15" customHeigh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T806" s="34"/>
    </row>
    <row r="807" spans="2:20" ht="15" customHeigh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T807" s="34"/>
    </row>
    <row r="808" spans="2:20" ht="15" customHeigh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T808" s="34"/>
    </row>
    <row r="809" spans="2:20" ht="15" customHeigh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T809" s="34"/>
    </row>
    <row r="810" spans="2:20" ht="15" customHeigh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T810" s="34"/>
    </row>
    <row r="811" spans="2:20" ht="15" customHeigh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T811" s="34"/>
    </row>
    <row r="812" spans="2:20" ht="15" customHeigh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T812" s="34"/>
    </row>
    <row r="813" spans="2:20" ht="15" customHeigh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T813" s="34"/>
    </row>
    <row r="814" spans="2:20" ht="15" customHeigh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T814" s="34"/>
    </row>
    <row r="815" spans="2:20" ht="15" customHeigh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T815" s="34"/>
    </row>
    <row r="816" spans="2:20" ht="15" customHeigh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T816" s="34"/>
    </row>
    <row r="817" spans="2:20" ht="15" customHeigh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T817" s="34"/>
    </row>
    <row r="818" spans="2:20" ht="15" customHeigh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T818" s="34"/>
    </row>
    <row r="819" spans="2:20" ht="15" customHeigh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T819" s="34"/>
    </row>
    <row r="820" spans="2:20" ht="15" customHeigh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T820" s="34"/>
    </row>
    <row r="821" spans="2:20" ht="15" customHeigh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T821" s="34"/>
    </row>
    <row r="822" spans="2:20" ht="15" customHeigh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T822" s="34"/>
    </row>
    <row r="823" spans="2:20" ht="15" customHeigh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T823" s="34"/>
    </row>
    <row r="824" spans="2:20" ht="15" customHeigh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T824" s="34"/>
    </row>
    <row r="825" spans="2:20" ht="15" customHeigh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T825" s="34"/>
    </row>
    <row r="826" spans="2:20" ht="15" customHeigh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T826" s="34"/>
    </row>
    <row r="827" spans="2:20" ht="15" customHeigh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T827" s="34"/>
    </row>
    <row r="828" spans="2:20" ht="15" customHeigh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T828" s="34"/>
    </row>
    <row r="829" spans="2:20" ht="15" customHeigh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T829" s="34"/>
    </row>
    <row r="830" spans="2:20" ht="15" customHeigh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T830" s="34"/>
    </row>
    <row r="831" spans="2:20" ht="15" customHeigh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T831" s="34"/>
    </row>
    <row r="832" spans="2:20" ht="15" customHeigh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T832" s="34"/>
    </row>
    <row r="833" spans="2:20" ht="15" customHeigh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T833" s="34"/>
    </row>
    <row r="834" spans="2:20" ht="15" customHeigh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T834" s="34"/>
    </row>
    <row r="835" spans="2:20" ht="15" customHeigh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T835" s="34"/>
    </row>
    <row r="836" spans="2:20" ht="15" customHeigh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T836" s="34"/>
    </row>
    <row r="837" spans="2:20" ht="15" customHeigh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T837" s="34"/>
    </row>
    <row r="838" spans="2:20" ht="15" customHeigh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T838" s="34"/>
    </row>
    <row r="839" spans="2:20" ht="15" customHeigh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T839" s="34"/>
    </row>
    <row r="840" spans="2:20" ht="15" customHeigh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T840" s="34"/>
    </row>
    <row r="841" spans="2:20" ht="15" customHeigh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T841" s="34"/>
    </row>
    <row r="842" spans="2:20" ht="15" customHeigh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T842" s="34"/>
    </row>
    <row r="843" spans="2:20" ht="15" customHeigh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T843" s="34"/>
    </row>
    <row r="844" spans="2:20" ht="15" customHeigh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T844" s="34"/>
    </row>
    <row r="845" spans="2:20" ht="15" customHeigh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T845" s="34"/>
    </row>
    <row r="846" spans="2:20" ht="15" customHeigh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T846" s="34"/>
    </row>
    <row r="847" spans="2:20" ht="15" customHeigh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T847" s="34"/>
    </row>
    <row r="848" spans="2:20" ht="15" customHeigh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T848" s="34"/>
    </row>
    <row r="849" spans="2:20" ht="15" customHeigh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T849" s="34"/>
    </row>
    <row r="850" spans="2:20" ht="15" customHeigh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T850" s="34"/>
    </row>
    <row r="851" spans="2:20" ht="15" customHeigh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T851" s="34"/>
    </row>
    <row r="852" spans="2:20" ht="15" customHeigh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T852" s="34"/>
    </row>
    <row r="853" spans="2:20" ht="15" customHeigh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T853" s="34"/>
    </row>
    <row r="854" spans="2:20" ht="15" customHeigh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T854" s="34"/>
    </row>
    <row r="855" spans="2:20" ht="15" customHeigh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T855" s="34"/>
    </row>
    <row r="856" spans="2:20" ht="15" customHeigh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T856" s="34"/>
    </row>
    <row r="857" spans="2:20" ht="15" customHeigh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T857" s="34"/>
    </row>
    <row r="858" spans="2:20" ht="15" customHeigh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T858" s="34"/>
    </row>
    <row r="859" spans="2:20" ht="15" customHeigh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T859" s="34"/>
    </row>
    <row r="860" spans="2:20" ht="15" customHeigh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T860" s="34"/>
    </row>
    <row r="861" spans="2:20" ht="15" customHeigh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T861" s="34"/>
    </row>
    <row r="862" spans="2:20" ht="15" customHeigh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T862" s="34"/>
    </row>
    <row r="863" spans="2:20" ht="15" customHeigh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T863" s="34"/>
    </row>
    <row r="864" spans="2:20" ht="15" customHeigh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T864" s="34"/>
    </row>
    <row r="865" spans="2:20" ht="15" customHeigh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T865" s="34"/>
    </row>
    <row r="866" spans="2:20" ht="15" customHeigh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T866" s="34"/>
    </row>
    <row r="867" spans="2:20" ht="15" customHeigh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T867" s="34"/>
    </row>
    <row r="868" spans="2:20" ht="15" customHeigh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T868" s="34"/>
    </row>
    <row r="869" spans="2:20" ht="15" customHeigh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T869" s="34"/>
    </row>
    <row r="870" spans="2:20" ht="15" customHeigh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T870" s="34"/>
    </row>
    <row r="871" spans="2:20" ht="15" customHeigh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T871" s="34"/>
    </row>
    <row r="872" spans="2:20" ht="15" customHeigh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T872" s="34"/>
    </row>
    <row r="873" spans="2:20" ht="15" customHeigh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T873" s="34"/>
    </row>
    <row r="874" spans="2:20" ht="15" customHeigh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T874" s="34"/>
    </row>
    <row r="875" spans="2:20" ht="15" customHeigh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T875" s="34"/>
    </row>
    <row r="876" spans="2:20" ht="15" customHeigh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T876" s="34"/>
    </row>
    <row r="877" spans="2:20" ht="15" customHeigh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T877" s="34"/>
    </row>
    <row r="878" spans="2:20" ht="15" customHeigh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T878" s="34"/>
    </row>
    <row r="879" spans="2:20" ht="15" customHeigh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T879" s="34"/>
    </row>
    <row r="880" spans="2:20" ht="15" customHeigh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T880" s="34"/>
    </row>
    <row r="881" spans="2:20" ht="15" customHeigh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T881" s="34"/>
    </row>
    <row r="882" spans="2:20" ht="15" customHeigh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T882" s="34"/>
    </row>
    <row r="883" spans="2:20" ht="15" customHeigh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T883" s="34"/>
    </row>
    <row r="884" spans="2:20" ht="15" customHeigh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T884" s="34"/>
    </row>
    <row r="885" spans="2:20" ht="15" customHeigh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T885" s="34"/>
    </row>
    <row r="886" spans="2:20" ht="15" customHeigh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T886" s="34"/>
    </row>
    <row r="887" spans="2:20" ht="15" customHeigh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T887" s="34"/>
    </row>
    <row r="888" spans="2:20" ht="15" customHeigh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T888" s="34"/>
    </row>
    <row r="889" spans="2:20" ht="15" customHeigh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T889" s="34"/>
    </row>
    <row r="890" spans="2:20" ht="15" customHeigh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T890" s="34"/>
    </row>
    <row r="891" spans="2:20" ht="15" customHeigh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T891" s="34"/>
    </row>
    <row r="892" spans="2:20" ht="15" customHeigh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T892" s="34"/>
    </row>
    <row r="893" spans="2:20" ht="15" customHeigh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T893" s="34"/>
    </row>
    <row r="894" spans="2:20" ht="15" customHeigh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T894" s="34"/>
    </row>
    <row r="895" spans="2:20" ht="15" customHeigh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T895" s="34"/>
    </row>
    <row r="896" spans="2:20" ht="15" customHeigh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T896" s="34"/>
    </row>
    <row r="897" spans="2:20" ht="15" customHeigh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T897" s="34"/>
    </row>
    <row r="898" spans="2:20" ht="15" customHeigh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T898" s="34"/>
    </row>
    <row r="899" spans="2:20" ht="15" customHeigh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T899" s="34"/>
    </row>
    <row r="900" spans="2:20" ht="15" customHeigh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T900" s="34"/>
    </row>
    <row r="901" spans="2:20" ht="15" customHeigh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T901" s="34"/>
    </row>
    <row r="902" spans="2:20" ht="15" customHeigh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T902" s="34"/>
    </row>
    <row r="903" spans="2:20" ht="15" customHeigh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T903" s="34"/>
    </row>
    <row r="904" spans="2:20" ht="15" customHeigh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T904" s="34"/>
    </row>
    <row r="905" spans="2:20" ht="15" customHeigh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T905" s="34"/>
    </row>
    <row r="906" spans="2:20" ht="15" customHeigh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T906" s="34"/>
    </row>
    <row r="907" spans="2:20" ht="15" customHeigh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T907" s="34"/>
    </row>
    <row r="908" spans="2:20" ht="15" customHeigh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T908" s="34"/>
    </row>
    <row r="909" spans="2:20" ht="15" customHeigh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T909" s="34"/>
    </row>
    <row r="910" spans="2:20" ht="15" customHeigh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T910" s="34"/>
    </row>
    <row r="911" spans="2:20" ht="15" customHeigh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T911" s="34"/>
    </row>
    <row r="912" spans="2:20" ht="15" customHeigh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T912" s="34"/>
    </row>
    <row r="913" spans="2:20" ht="15" customHeigh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T913" s="34"/>
    </row>
    <row r="914" spans="2:20" ht="15" customHeigh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T914" s="34"/>
    </row>
    <row r="915" spans="2:20" ht="15" customHeigh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T915" s="34"/>
    </row>
    <row r="916" spans="2:20" ht="15" customHeigh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T916" s="34"/>
    </row>
    <row r="917" spans="2:20" ht="15" customHeigh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T917" s="34"/>
    </row>
    <row r="918" spans="2:20" ht="15" customHeigh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T918" s="34"/>
    </row>
    <row r="919" spans="2:20" ht="15" customHeigh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T919" s="34"/>
    </row>
    <row r="920" spans="2:20" ht="15" customHeigh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T920" s="34"/>
    </row>
    <row r="921" spans="2:20" ht="15" customHeigh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T921" s="34"/>
    </row>
    <row r="922" spans="2:20" ht="15" customHeigh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T922" s="34"/>
    </row>
    <row r="923" spans="2:20" ht="15" customHeigh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T923" s="34"/>
    </row>
    <row r="924" spans="2:20" ht="15" customHeigh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T924" s="34"/>
    </row>
    <row r="925" spans="2:20" ht="15" customHeigh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T925" s="34"/>
    </row>
    <row r="926" spans="2:20" ht="15" customHeigh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T926" s="34"/>
    </row>
    <row r="927" spans="2:20" ht="15" customHeigh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T927" s="34"/>
    </row>
    <row r="928" spans="2:20" ht="15" customHeigh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T928" s="34"/>
    </row>
    <row r="929" spans="2:20" ht="15" customHeigh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T929" s="34"/>
    </row>
    <row r="930" spans="2:20" ht="15" customHeigh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T930" s="34"/>
    </row>
    <row r="931" spans="2:20" ht="15" customHeigh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T931" s="34"/>
    </row>
    <row r="932" spans="2:20" ht="15" customHeigh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T932" s="34"/>
    </row>
    <row r="933" spans="2:20" ht="15" customHeigh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T933" s="34"/>
    </row>
    <row r="934" spans="2:20" ht="15" customHeigh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T934" s="34"/>
    </row>
    <row r="935" spans="2:20" ht="15" customHeigh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T935" s="34"/>
    </row>
    <row r="936" spans="2:20" ht="15" customHeigh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T936" s="34"/>
    </row>
    <row r="937" spans="2:20" ht="15" customHeigh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T937" s="34"/>
    </row>
    <row r="938" spans="2:20" ht="15" customHeigh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T938" s="34"/>
    </row>
    <row r="939" spans="2:20" ht="15" customHeigh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T939" s="34"/>
    </row>
    <row r="940" spans="2:20" ht="15" customHeigh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T940" s="34"/>
    </row>
    <row r="941" spans="2:20" ht="15" customHeigh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T941" s="34"/>
    </row>
    <row r="942" spans="2:20" ht="15" customHeigh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T942" s="34"/>
    </row>
    <row r="943" spans="2:20" ht="15" customHeigh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T943" s="34"/>
    </row>
    <row r="944" spans="2:20" ht="15" customHeigh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T944" s="34"/>
    </row>
    <row r="945" spans="2:20" ht="15" customHeigh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T945" s="34"/>
    </row>
    <row r="946" spans="2:20" ht="15" customHeigh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T946" s="34"/>
    </row>
    <row r="947" spans="2:20" ht="15" customHeigh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T947" s="34"/>
    </row>
    <row r="948" spans="2:20" ht="15" customHeigh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T948" s="34"/>
    </row>
    <row r="949" spans="2:20" ht="15" customHeigh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T949" s="34"/>
    </row>
    <row r="950" spans="2:20" ht="15" customHeigh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T950" s="34"/>
    </row>
    <row r="951" spans="2:20" ht="15" customHeigh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T951" s="34"/>
    </row>
    <row r="952" spans="2:20" ht="15" customHeigh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T952" s="34"/>
    </row>
    <row r="953" spans="2:20" ht="15" customHeigh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T953" s="34"/>
    </row>
    <row r="954" spans="2:20" ht="15" customHeigh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T954" s="34"/>
    </row>
    <row r="955" spans="2:20" ht="15" customHeigh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T955" s="34"/>
    </row>
    <row r="956" spans="2:20" ht="15" customHeigh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T956" s="34"/>
    </row>
    <row r="957" spans="2:20" ht="15" customHeigh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T957" s="34"/>
    </row>
    <row r="958" spans="2:20" ht="15" customHeigh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T958" s="34"/>
    </row>
    <row r="959" spans="2:20" ht="15" customHeigh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T959" s="34"/>
    </row>
    <row r="960" spans="2:20" ht="15" customHeigh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T960" s="34"/>
    </row>
    <row r="961" spans="2:20" ht="15" customHeigh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T961" s="34"/>
    </row>
    <row r="962" spans="2:20" ht="15" customHeigh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T962" s="34"/>
    </row>
    <row r="963" spans="2:20" ht="15" customHeigh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T963" s="34"/>
    </row>
    <row r="964" spans="2:20" ht="15" customHeigh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T964" s="34"/>
    </row>
    <row r="965" spans="2:20" ht="15" customHeigh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T965" s="34"/>
    </row>
    <row r="966" spans="2:20" ht="15" customHeigh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T966" s="34"/>
    </row>
    <row r="967" spans="2:20" ht="15" customHeigh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T967" s="34"/>
    </row>
    <row r="968" spans="2:20" ht="15" customHeigh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T968" s="34"/>
    </row>
    <row r="969" spans="2:20" ht="15" customHeigh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T969" s="34"/>
    </row>
    <row r="970" spans="2:20" ht="15" customHeigh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T970" s="34"/>
    </row>
    <row r="971" spans="2:20" ht="15" customHeigh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T971" s="34"/>
    </row>
    <row r="972" spans="2:20" ht="15" customHeigh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T972" s="34"/>
    </row>
    <row r="973" spans="2:20" ht="15" customHeigh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T973" s="34"/>
    </row>
    <row r="974" spans="2:20" ht="15" customHeigh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T974" s="34"/>
    </row>
    <row r="975" spans="2:20" ht="15" customHeigh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T975" s="34"/>
    </row>
    <row r="976" spans="2:20" ht="15" customHeigh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T976" s="34"/>
    </row>
    <row r="977" spans="2:20" ht="15" customHeigh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T977" s="34"/>
    </row>
    <row r="978" spans="2:20" ht="15" customHeigh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T978" s="34"/>
    </row>
    <row r="979" spans="2:20" ht="15" customHeigh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T979" s="34"/>
    </row>
    <row r="980" spans="2:20" ht="15" customHeigh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T980" s="34"/>
    </row>
    <row r="981" spans="2:20" ht="15" customHeigh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T981" s="34"/>
    </row>
    <row r="982" spans="2:20" ht="15" customHeigh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T982" s="34"/>
    </row>
    <row r="983" spans="2:20" ht="15" customHeigh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T983" s="34"/>
    </row>
    <row r="984" spans="2:20" ht="15" customHeigh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T984" s="34"/>
    </row>
    <row r="985" spans="2:20" ht="15" customHeigh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T985" s="34"/>
    </row>
    <row r="986" spans="2:20" ht="15" customHeigh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T986" s="34"/>
    </row>
    <row r="987" spans="2:20" ht="15" customHeigh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T987" s="34"/>
    </row>
    <row r="988" spans="2:20" ht="15" customHeigh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T988" s="34"/>
    </row>
    <row r="989" spans="2:20" ht="15" customHeigh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T989" s="34"/>
    </row>
    <row r="990" spans="2:20" ht="15" customHeigh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T990" s="34"/>
    </row>
    <row r="991" spans="2:20" ht="15" customHeigh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T991" s="34"/>
    </row>
    <row r="992" spans="2:20" ht="15" customHeigh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T992" s="34"/>
    </row>
    <row r="993" spans="2:20" ht="15" customHeigh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T993" s="34"/>
    </row>
    <row r="994" spans="2:20" ht="15" customHeigh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T994" s="34"/>
    </row>
    <row r="995" spans="2:20" ht="15" customHeigh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T995" s="34"/>
    </row>
    <row r="996" spans="2:20" ht="15" customHeigh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T996" s="34"/>
    </row>
    <row r="997" spans="2:20" ht="15" customHeigh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T997" s="34"/>
    </row>
    <row r="998" spans="2:20" ht="15" customHeight="1" x14ac:dyDescent="0.3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T998" s="34"/>
    </row>
    <row r="999" spans="2:20" ht="15" customHeight="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T999" s="34"/>
    </row>
    <row r="1000" spans="2:20" ht="15" customHeight="1" x14ac:dyDescent="0.3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T1000" s="34"/>
    </row>
    <row r="1001" spans="2:20" ht="15" customHeight="1" x14ac:dyDescent="0.3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T1001" s="34"/>
    </row>
    <row r="1002" spans="2:20" ht="15" customHeight="1" x14ac:dyDescent="0.3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T1002" s="34"/>
    </row>
    <row r="1003" spans="2:20" ht="15" customHeight="1" x14ac:dyDescent="0.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T1003" s="34"/>
    </row>
    <row r="1004" spans="2:20" ht="15" customHeight="1" x14ac:dyDescent="0.3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T1004" s="34"/>
    </row>
    <row r="1005" spans="2:20" ht="15" customHeight="1" x14ac:dyDescent="0.3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T1005" s="34"/>
    </row>
    <row r="1006" spans="2:20" ht="15" customHeight="1" x14ac:dyDescent="0.3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T1006" s="34"/>
    </row>
    <row r="1007" spans="2:20" ht="15" customHeight="1" x14ac:dyDescent="0.3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T1007" s="34"/>
    </row>
    <row r="1008" spans="2:20" ht="15" customHeight="1" x14ac:dyDescent="0.3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T1008" s="34"/>
    </row>
    <row r="1009" spans="2:20" ht="15" customHeight="1" x14ac:dyDescent="0.3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T1009" s="34"/>
    </row>
    <row r="1010" spans="2:20" ht="15" customHeight="1" x14ac:dyDescent="0.3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T1010" s="34"/>
    </row>
    <row r="1011" spans="2:20" ht="15" customHeight="1" x14ac:dyDescent="0.3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T1011" s="34"/>
    </row>
    <row r="1012" spans="2:20" ht="15" customHeight="1" x14ac:dyDescent="0.3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T1012" s="34"/>
    </row>
    <row r="1013" spans="2:20" ht="15" customHeight="1" x14ac:dyDescent="0.3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T1013" s="34"/>
    </row>
    <row r="1014" spans="2:20" ht="15" customHeight="1" x14ac:dyDescent="0.3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T1014" s="34"/>
    </row>
    <row r="1015" spans="2:20" ht="15" customHeight="1" x14ac:dyDescent="0.3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T1015" s="34"/>
    </row>
    <row r="1016" spans="2:20" ht="15" customHeight="1" x14ac:dyDescent="0.3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T1016" s="34"/>
    </row>
    <row r="1017" spans="2:20" ht="15" customHeight="1" x14ac:dyDescent="0.3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T1017" s="34"/>
    </row>
    <row r="1018" spans="2:20" ht="15" customHeight="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T1018" s="34"/>
    </row>
    <row r="1019" spans="2:20" ht="15" customHeight="1" x14ac:dyDescent="0.3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T1019" s="34"/>
    </row>
    <row r="1020" spans="2:20" ht="15" customHeight="1" x14ac:dyDescent="0.3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T1020" s="34"/>
    </row>
    <row r="1021" spans="2:20" ht="15" customHeight="1" x14ac:dyDescent="0.3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T1021" s="34"/>
    </row>
    <row r="1022" spans="2:20" ht="15" customHeight="1" x14ac:dyDescent="0.3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T1022" s="34"/>
    </row>
    <row r="1023" spans="2:20" ht="15" customHeight="1" x14ac:dyDescent="0.3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T1023" s="34"/>
    </row>
    <row r="1024" spans="2:20" ht="15" customHeight="1" x14ac:dyDescent="0.3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T1024" s="34"/>
    </row>
    <row r="1025" spans="2:20" ht="15" customHeight="1" x14ac:dyDescent="0.3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T1025" s="34"/>
    </row>
    <row r="1026" spans="2:20" ht="15" customHeight="1" x14ac:dyDescent="0.3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T1026" s="34"/>
    </row>
    <row r="1027" spans="2:20" ht="15" customHeight="1" x14ac:dyDescent="0.3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T1027" s="34"/>
    </row>
    <row r="1028" spans="2:20" ht="15" customHeight="1" x14ac:dyDescent="0.3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T1028" s="34"/>
    </row>
    <row r="1029" spans="2:20" ht="15" customHeight="1" x14ac:dyDescent="0.3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T1029" s="34"/>
    </row>
    <row r="1030" spans="2:20" ht="15" customHeight="1" x14ac:dyDescent="0.3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T1030" s="34"/>
    </row>
    <row r="1031" spans="2:20" ht="15" customHeight="1" x14ac:dyDescent="0.3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T1031" s="34"/>
    </row>
    <row r="1032" spans="2:20" ht="15" customHeight="1" x14ac:dyDescent="0.3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T1032" s="34"/>
    </row>
    <row r="1033" spans="2:20" ht="15" customHeight="1" x14ac:dyDescent="0.3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T1033" s="34"/>
    </row>
    <row r="1034" spans="2:20" ht="15" customHeight="1" x14ac:dyDescent="0.3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T1034" s="34"/>
    </row>
    <row r="1035" spans="2:20" ht="15" customHeight="1" x14ac:dyDescent="0.3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T1035" s="34"/>
    </row>
    <row r="1036" spans="2:20" ht="15" customHeight="1" x14ac:dyDescent="0.3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T1036" s="34"/>
    </row>
    <row r="1037" spans="2:20" ht="15" customHeight="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T1037" s="34"/>
    </row>
    <row r="1038" spans="2:20" ht="15" customHeight="1" x14ac:dyDescent="0.3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T1038" s="34"/>
    </row>
    <row r="1039" spans="2:20" ht="15" customHeight="1" x14ac:dyDescent="0.3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T1039" s="34"/>
    </row>
    <row r="1040" spans="2:20" ht="15" customHeight="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T1040" s="34"/>
    </row>
    <row r="1041" spans="2:20" ht="15" customHeight="1" x14ac:dyDescent="0.3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T1041" s="34"/>
    </row>
    <row r="1042" spans="2:20" ht="15" customHeight="1" x14ac:dyDescent="0.3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T1042" s="34"/>
    </row>
    <row r="1043" spans="2:20" ht="15" customHeight="1" x14ac:dyDescent="0.3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T1043" s="34"/>
    </row>
    <row r="1044" spans="2:20" ht="15" customHeight="1" x14ac:dyDescent="0.3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T1044" s="34"/>
    </row>
    <row r="1045" spans="2:20" ht="15" customHeight="1" x14ac:dyDescent="0.3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T1045" s="34"/>
    </row>
    <row r="1046" spans="2:20" ht="15" customHeight="1" x14ac:dyDescent="0.3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T1046" s="34"/>
    </row>
    <row r="1047" spans="2:20" ht="15" customHeight="1" x14ac:dyDescent="0.3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T1047" s="34"/>
    </row>
    <row r="1048" spans="2:20" ht="15" customHeight="1" x14ac:dyDescent="0.3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T1048" s="34"/>
    </row>
    <row r="1049" spans="2:20" ht="15" customHeight="1" x14ac:dyDescent="0.3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T1049" s="34"/>
    </row>
    <row r="1050" spans="2:20" ht="15" customHeight="1" x14ac:dyDescent="0.3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T1050" s="34"/>
    </row>
    <row r="1051" spans="2:20" ht="15" customHeight="1" x14ac:dyDescent="0.3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T1051" s="34"/>
    </row>
    <row r="1052" spans="2:20" ht="15" customHeight="1" x14ac:dyDescent="0.3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T1052" s="34"/>
    </row>
    <row r="1053" spans="2:20" ht="15" customHeight="1" x14ac:dyDescent="0.3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T1053" s="34"/>
    </row>
    <row r="1054" spans="2:20" ht="15" customHeight="1" x14ac:dyDescent="0.3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T1054" s="34"/>
    </row>
    <row r="1055" spans="2:20" ht="15" customHeight="1" x14ac:dyDescent="0.3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T1055" s="34"/>
    </row>
    <row r="1056" spans="2:20" ht="15" customHeight="1" x14ac:dyDescent="0.3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T1056" s="34"/>
    </row>
    <row r="1057" spans="2:20" ht="15" customHeight="1" x14ac:dyDescent="0.3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T1057" s="34"/>
    </row>
    <row r="1058" spans="2:20" ht="15" customHeight="1" x14ac:dyDescent="0.3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T1058" s="34"/>
    </row>
    <row r="1059" spans="2:20" ht="15" customHeight="1" x14ac:dyDescent="0.3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T1059" s="34"/>
    </row>
    <row r="1060" spans="2:20" ht="15" customHeight="1" x14ac:dyDescent="0.3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T1060" s="34"/>
    </row>
    <row r="1061" spans="2:20" ht="15" customHeight="1" x14ac:dyDescent="0.3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T1061" s="34"/>
    </row>
    <row r="1062" spans="2:20" ht="15" customHeight="1" x14ac:dyDescent="0.3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T1062" s="3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D105"/>
  <sheetViews>
    <sheetView zoomScaleNormal="100" workbookViewId="0">
      <selection activeCell="BV13" sqref="BV13:DJ13"/>
    </sheetView>
  </sheetViews>
  <sheetFormatPr defaultColWidth="8.59765625" defaultRowHeight="15.6" x14ac:dyDescent="0.3"/>
  <cols>
    <col min="1" max="1" width="10.3984375" customWidth="1"/>
    <col min="2" max="73" width="10.59765625" hidden="1" customWidth="1"/>
  </cols>
  <sheetData>
    <row r="1" spans="1:134" ht="15" customHeight="1" x14ac:dyDescent="0.3">
      <c r="A1" t="s">
        <v>213</v>
      </c>
    </row>
    <row r="2" spans="1:134" ht="15" customHeight="1" x14ac:dyDescent="0.3">
      <c r="A2" t="s">
        <v>214</v>
      </c>
    </row>
    <row r="3" spans="1:134" ht="15" customHeight="1" x14ac:dyDescent="0.3">
      <c r="A3" t="s">
        <v>215</v>
      </c>
    </row>
    <row r="5" spans="1:134" ht="15" customHeight="1" x14ac:dyDescent="0.3">
      <c r="A5" t="s">
        <v>216</v>
      </c>
      <c r="B5" t="s">
        <v>217</v>
      </c>
      <c r="C5" t="s">
        <v>218</v>
      </c>
      <c r="D5" t="s">
        <v>219</v>
      </c>
      <c r="E5" t="s">
        <v>220</v>
      </c>
      <c r="F5" t="s">
        <v>221</v>
      </c>
      <c r="G5" t="s">
        <v>222</v>
      </c>
      <c r="H5" t="s">
        <v>223</v>
      </c>
      <c r="I5" t="s">
        <v>224</v>
      </c>
      <c r="J5" t="s">
        <v>225</v>
      </c>
      <c r="K5" t="s">
        <v>226</v>
      </c>
      <c r="L5" t="s">
        <v>227</v>
      </c>
      <c r="M5" t="s">
        <v>228</v>
      </c>
      <c r="N5" t="s">
        <v>229</v>
      </c>
      <c r="O5" t="s">
        <v>230</v>
      </c>
      <c r="P5" t="s">
        <v>231</v>
      </c>
      <c r="Q5" t="s">
        <v>232</v>
      </c>
      <c r="R5" t="s">
        <v>233</v>
      </c>
      <c r="S5" t="s">
        <v>234</v>
      </c>
      <c r="T5" t="s">
        <v>235</v>
      </c>
      <c r="U5" t="s">
        <v>236</v>
      </c>
      <c r="V5" t="s">
        <v>237</v>
      </c>
      <c r="W5" t="s">
        <v>238</v>
      </c>
      <c r="X5" t="s">
        <v>239</v>
      </c>
      <c r="Y5" t="s">
        <v>240</v>
      </c>
      <c r="Z5" t="s">
        <v>241</v>
      </c>
      <c r="AA5" t="s">
        <v>242</v>
      </c>
      <c r="AB5" t="s">
        <v>243</v>
      </c>
      <c r="AC5" t="s">
        <v>244</v>
      </c>
      <c r="AD5" t="s">
        <v>245</v>
      </c>
      <c r="AE5" t="s">
        <v>246</v>
      </c>
      <c r="AF5" t="s">
        <v>247</v>
      </c>
      <c r="AG5" t="s">
        <v>248</v>
      </c>
      <c r="AH5" t="s">
        <v>249</v>
      </c>
      <c r="AI5" t="s">
        <v>250</v>
      </c>
      <c r="AJ5" t="s">
        <v>251</v>
      </c>
      <c r="AK5" t="s">
        <v>252</v>
      </c>
      <c r="AL5" t="s">
        <v>253</v>
      </c>
      <c r="AM5" t="s">
        <v>254</v>
      </c>
      <c r="AN5" t="s">
        <v>255</v>
      </c>
      <c r="AO5" t="s">
        <v>256</v>
      </c>
      <c r="AP5" t="s">
        <v>257</v>
      </c>
      <c r="AQ5" t="s">
        <v>258</v>
      </c>
      <c r="AR5" t="s">
        <v>259</v>
      </c>
      <c r="AS5" t="s">
        <v>260</v>
      </c>
      <c r="AT5" t="s">
        <v>261</v>
      </c>
      <c r="AU5" t="s">
        <v>262</v>
      </c>
      <c r="AV5" t="s">
        <v>263</v>
      </c>
      <c r="AW5" t="s">
        <v>264</v>
      </c>
      <c r="AX5" t="s">
        <v>265</v>
      </c>
      <c r="AY5" t="s">
        <v>266</v>
      </c>
      <c r="AZ5" t="s">
        <v>267</v>
      </c>
      <c r="BA5" t="s">
        <v>268</v>
      </c>
      <c r="BB5" t="s">
        <v>269</v>
      </c>
      <c r="BC5" t="s">
        <v>270</v>
      </c>
      <c r="BD5" t="s">
        <v>271</v>
      </c>
      <c r="BE5" t="s">
        <v>272</v>
      </c>
      <c r="BF5" t="s">
        <v>273</v>
      </c>
      <c r="BG5" t="s">
        <v>274</v>
      </c>
      <c r="BH5" t="s">
        <v>275</v>
      </c>
      <c r="BI5" t="s">
        <v>276</v>
      </c>
      <c r="BJ5" t="s">
        <v>277</v>
      </c>
      <c r="BK5" t="s">
        <v>278</v>
      </c>
      <c r="BL5" t="s">
        <v>279</v>
      </c>
      <c r="BM5" t="s">
        <v>280</v>
      </c>
      <c r="BN5" t="s">
        <v>281</v>
      </c>
      <c r="BO5" t="s">
        <v>282</v>
      </c>
      <c r="BP5" t="s">
        <v>283</v>
      </c>
      <c r="BQ5" t="s">
        <v>284</v>
      </c>
      <c r="BR5" t="s">
        <v>285</v>
      </c>
      <c r="BS5" t="s">
        <v>286</v>
      </c>
      <c r="BT5" t="s">
        <v>287</v>
      </c>
      <c r="BU5" t="s">
        <v>288</v>
      </c>
      <c r="BV5" t="s">
        <v>289</v>
      </c>
      <c r="BW5" t="s">
        <v>290</v>
      </c>
      <c r="BX5" t="s">
        <v>291</v>
      </c>
      <c r="BY5" t="s">
        <v>292</v>
      </c>
      <c r="BZ5" t="s">
        <v>293</v>
      </c>
      <c r="CA5" t="s">
        <v>294</v>
      </c>
      <c r="CB5" t="s">
        <v>295</v>
      </c>
      <c r="CC5" t="s">
        <v>296</v>
      </c>
      <c r="CD5" t="s">
        <v>297</v>
      </c>
      <c r="CE5" t="s">
        <v>298</v>
      </c>
      <c r="CF5" t="s">
        <v>299</v>
      </c>
      <c r="CG5" t="s">
        <v>300</v>
      </c>
      <c r="CH5" t="s">
        <v>301</v>
      </c>
      <c r="CI5" t="s">
        <v>302</v>
      </c>
      <c r="CJ5" t="s">
        <v>303</v>
      </c>
      <c r="CK5" t="s">
        <v>304</v>
      </c>
      <c r="CL5" t="s">
        <v>305</v>
      </c>
      <c r="CM5" t="s">
        <v>306</v>
      </c>
      <c r="CN5" t="s">
        <v>307</v>
      </c>
      <c r="CO5" t="s">
        <v>308</v>
      </c>
      <c r="CP5" t="s">
        <v>309</v>
      </c>
      <c r="CQ5" t="s">
        <v>310</v>
      </c>
      <c r="CR5" t="s">
        <v>311</v>
      </c>
      <c r="CS5" t="s">
        <v>312</v>
      </c>
      <c r="CT5" t="s">
        <v>313</v>
      </c>
      <c r="CU5" t="s">
        <v>314</v>
      </c>
      <c r="CV5" t="s">
        <v>315</v>
      </c>
      <c r="CW5" t="s">
        <v>316</v>
      </c>
      <c r="CX5" t="s">
        <v>317</v>
      </c>
      <c r="CY5" t="s">
        <v>318</v>
      </c>
      <c r="CZ5" t="s">
        <v>319</v>
      </c>
      <c r="DA5" t="s">
        <v>320</v>
      </c>
      <c r="DB5" t="s">
        <v>321</v>
      </c>
      <c r="DC5" t="s">
        <v>322</v>
      </c>
      <c r="DD5" t="s">
        <v>323</v>
      </c>
      <c r="DE5" t="s">
        <v>324</v>
      </c>
      <c r="DF5" t="s">
        <v>325</v>
      </c>
      <c r="DG5" t="s">
        <v>326</v>
      </c>
      <c r="DH5" t="s">
        <v>327</v>
      </c>
      <c r="DI5" t="s">
        <v>328</v>
      </c>
      <c r="DJ5" t="s">
        <v>329</v>
      </c>
      <c r="DK5" t="s">
        <v>330</v>
      </c>
      <c r="DL5" t="s">
        <v>331</v>
      </c>
      <c r="DM5" t="s">
        <v>332</v>
      </c>
      <c r="DN5" t="s">
        <v>333</v>
      </c>
      <c r="DO5" t="s">
        <v>334</v>
      </c>
      <c r="DP5" t="s">
        <v>335</v>
      </c>
      <c r="DQ5" t="s">
        <v>336</v>
      </c>
      <c r="DR5" t="s">
        <v>337</v>
      </c>
      <c r="DS5" t="s">
        <v>338</v>
      </c>
      <c r="DT5" t="s">
        <v>339</v>
      </c>
      <c r="DU5" t="s">
        <v>340</v>
      </c>
      <c r="DV5" t="s">
        <v>341</v>
      </c>
      <c r="DW5" t="s">
        <v>342</v>
      </c>
      <c r="DX5" t="s">
        <v>343</v>
      </c>
      <c r="DY5" t="s">
        <v>344</v>
      </c>
      <c r="DZ5" t="s">
        <v>345</v>
      </c>
      <c r="EA5" t="s">
        <v>346</v>
      </c>
      <c r="EB5" t="s">
        <v>347</v>
      </c>
      <c r="EC5" t="s">
        <v>348</v>
      </c>
      <c r="ED5" t="s">
        <v>349</v>
      </c>
    </row>
    <row r="6" spans="1:134" ht="15" customHeight="1" x14ac:dyDescent="0.3">
      <c r="A6" t="s">
        <v>350</v>
      </c>
    </row>
    <row r="7" spans="1:134" ht="15" customHeight="1" x14ac:dyDescent="0.3">
      <c r="A7" t="s">
        <v>34</v>
      </c>
      <c r="B7" t="s">
        <v>351</v>
      </c>
      <c r="C7" t="s">
        <v>351</v>
      </c>
      <c r="D7" t="s">
        <v>351</v>
      </c>
      <c r="E7" t="s">
        <v>351</v>
      </c>
      <c r="F7" t="s">
        <v>351</v>
      </c>
      <c r="G7" t="s">
        <v>351</v>
      </c>
      <c r="H7" t="s">
        <v>351</v>
      </c>
      <c r="I7" t="s">
        <v>351</v>
      </c>
      <c r="J7" t="s">
        <v>351</v>
      </c>
      <c r="K7" t="s">
        <v>351</v>
      </c>
      <c r="L7" t="s">
        <v>351</v>
      </c>
      <c r="M7" t="s">
        <v>351</v>
      </c>
      <c r="N7">
        <v>143</v>
      </c>
      <c r="O7">
        <v>167</v>
      </c>
      <c r="P7">
        <v>154</v>
      </c>
      <c r="Q7">
        <v>205</v>
      </c>
      <c r="R7">
        <v>181</v>
      </c>
      <c r="S7">
        <v>106</v>
      </c>
      <c r="T7">
        <v>175</v>
      </c>
      <c r="U7">
        <v>175</v>
      </c>
      <c r="V7">
        <v>160</v>
      </c>
      <c r="W7" t="s">
        <v>351</v>
      </c>
      <c r="X7" t="s">
        <v>351</v>
      </c>
      <c r="Y7" t="s">
        <v>351</v>
      </c>
      <c r="Z7">
        <v>156</v>
      </c>
      <c r="AA7">
        <v>141</v>
      </c>
      <c r="AB7">
        <v>149</v>
      </c>
      <c r="AC7">
        <v>264</v>
      </c>
      <c r="AD7">
        <v>150</v>
      </c>
      <c r="AE7">
        <v>82</v>
      </c>
      <c r="AF7">
        <v>107</v>
      </c>
      <c r="AG7">
        <v>45</v>
      </c>
      <c r="AH7">
        <v>103</v>
      </c>
      <c r="AI7">
        <v>181</v>
      </c>
      <c r="AJ7">
        <v>87</v>
      </c>
      <c r="AK7">
        <v>198</v>
      </c>
      <c r="AL7">
        <v>157</v>
      </c>
      <c r="AM7">
        <v>130</v>
      </c>
      <c r="AN7">
        <v>117</v>
      </c>
      <c r="AO7">
        <v>185</v>
      </c>
      <c r="AP7">
        <v>257</v>
      </c>
      <c r="AQ7">
        <v>170</v>
      </c>
      <c r="AR7">
        <v>192</v>
      </c>
      <c r="AS7">
        <v>164</v>
      </c>
      <c r="AT7">
        <v>176</v>
      </c>
      <c r="AU7">
        <v>149</v>
      </c>
      <c r="AV7">
        <v>146</v>
      </c>
      <c r="AW7">
        <v>154</v>
      </c>
      <c r="AX7">
        <v>162</v>
      </c>
      <c r="AY7">
        <v>146</v>
      </c>
      <c r="AZ7">
        <v>156</v>
      </c>
      <c r="BA7">
        <v>163</v>
      </c>
      <c r="BB7">
        <v>163</v>
      </c>
      <c r="BC7">
        <v>178</v>
      </c>
      <c r="BD7">
        <v>58</v>
      </c>
      <c r="BE7">
        <v>51</v>
      </c>
      <c r="BF7">
        <v>61</v>
      </c>
      <c r="BG7">
        <v>240</v>
      </c>
      <c r="BH7">
        <v>111</v>
      </c>
      <c r="BI7">
        <v>104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156</v>
      </c>
      <c r="BQ7">
        <v>173</v>
      </c>
      <c r="BR7">
        <v>95</v>
      </c>
      <c r="BS7">
        <v>139</v>
      </c>
      <c r="BT7">
        <v>112</v>
      </c>
      <c r="BU7">
        <v>92</v>
      </c>
      <c r="BV7">
        <v>176</v>
      </c>
      <c r="BW7">
        <v>158</v>
      </c>
      <c r="BX7">
        <v>133</v>
      </c>
      <c r="BY7">
        <v>111</v>
      </c>
      <c r="BZ7">
        <v>125</v>
      </c>
      <c r="CA7">
        <v>132</v>
      </c>
      <c r="CB7">
        <v>100</v>
      </c>
      <c r="CC7">
        <v>23</v>
      </c>
      <c r="CD7">
        <v>85</v>
      </c>
      <c r="CE7">
        <v>247</v>
      </c>
      <c r="CF7">
        <v>205</v>
      </c>
      <c r="CG7">
        <v>268</v>
      </c>
      <c r="CH7">
        <v>256</v>
      </c>
      <c r="CI7">
        <v>287</v>
      </c>
      <c r="CJ7">
        <v>370</v>
      </c>
      <c r="CK7">
        <v>310</v>
      </c>
      <c r="CL7">
        <v>361</v>
      </c>
      <c r="CM7">
        <v>213</v>
      </c>
      <c r="CN7">
        <v>349</v>
      </c>
      <c r="CO7">
        <v>226</v>
      </c>
      <c r="CP7">
        <v>216</v>
      </c>
      <c r="CQ7">
        <v>284</v>
      </c>
      <c r="CR7">
        <v>267</v>
      </c>
      <c r="CS7">
        <v>233</v>
      </c>
      <c r="CT7">
        <v>256</v>
      </c>
      <c r="CU7">
        <v>287</v>
      </c>
      <c r="CV7">
        <v>269</v>
      </c>
      <c r="CW7">
        <v>265</v>
      </c>
      <c r="CX7">
        <v>317</v>
      </c>
      <c r="CY7">
        <v>260</v>
      </c>
      <c r="CZ7">
        <v>267</v>
      </c>
      <c r="DA7">
        <v>418</v>
      </c>
      <c r="DB7">
        <v>380</v>
      </c>
      <c r="DC7">
        <v>397</v>
      </c>
      <c r="DD7">
        <v>235</v>
      </c>
      <c r="DE7">
        <v>400</v>
      </c>
      <c r="DF7">
        <v>365</v>
      </c>
      <c r="DG7">
        <v>290</v>
      </c>
      <c r="DH7">
        <v>268</v>
      </c>
      <c r="DI7">
        <v>240</v>
      </c>
      <c r="DJ7">
        <v>268</v>
      </c>
      <c r="DK7">
        <v>260</v>
      </c>
      <c r="DL7">
        <v>248</v>
      </c>
      <c r="DM7">
        <v>268</v>
      </c>
      <c r="DN7">
        <v>297</v>
      </c>
      <c r="DO7">
        <v>328</v>
      </c>
      <c r="DP7">
        <v>282</v>
      </c>
      <c r="DQ7">
        <v>271</v>
      </c>
      <c r="DR7">
        <v>241</v>
      </c>
      <c r="DS7">
        <v>272</v>
      </c>
      <c r="DT7">
        <v>348</v>
      </c>
      <c r="DU7">
        <v>273</v>
      </c>
      <c r="DV7">
        <v>288</v>
      </c>
      <c r="DW7">
        <v>242</v>
      </c>
      <c r="DX7">
        <v>296</v>
      </c>
      <c r="DY7">
        <v>291</v>
      </c>
      <c r="DZ7">
        <v>269</v>
      </c>
      <c r="EA7">
        <v>251</v>
      </c>
      <c r="EB7">
        <v>246</v>
      </c>
      <c r="EC7">
        <v>216</v>
      </c>
      <c r="ED7">
        <v>193</v>
      </c>
    </row>
    <row r="8" spans="1:134" ht="15" customHeight="1" x14ac:dyDescent="0.3">
      <c r="A8" t="s">
        <v>33</v>
      </c>
      <c r="B8" t="s">
        <v>351</v>
      </c>
      <c r="C8" t="s">
        <v>351</v>
      </c>
      <c r="D8" t="s">
        <v>351</v>
      </c>
      <c r="E8" t="s">
        <v>351</v>
      </c>
      <c r="F8" t="s">
        <v>351</v>
      </c>
      <c r="G8">
        <v>202</v>
      </c>
      <c r="H8">
        <v>187</v>
      </c>
      <c r="I8">
        <v>207</v>
      </c>
      <c r="J8" t="s">
        <v>351</v>
      </c>
      <c r="K8" t="s">
        <v>351</v>
      </c>
      <c r="L8">
        <v>215</v>
      </c>
      <c r="M8">
        <v>236</v>
      </c>
      <c r="N8">
        <v>236</v>
      </c>
      <c r="O8">
        <v>243</v>
      </c>
      <c r="P8">
        <v>269</v>
      </c>
      <c r="Q8">
        <v>210</v>
      </c>
      <c r="R8">
        <v>215</v>
      </c>
      <c r="S8">
        <v>255</v>
      </c>
      <c r="T8">
        <v>232</v>
      </c>
      <c r="U8">
        <v>232</v>
      </c>
      <c r="V8">
        <v>247</v>
      </c>
      <c r="W8">
        <v>309</v>
      </c>
      <c r="X8">
        <v>248</v>
      </c>
      <c r="Y8">
        <v>312</v>
      </c>
      <c r="Z8">
        <v>303</v>
      </c>
      <c r="AA8">
        <v>277</v>
      </c>
      <c r="AB8">
        <v>298</v>
      </c>
      <c r="AC8">
        <v>225</v>
      </c>
      <c r="AD8">
        <v>268</v>
      </c>
      <c r="AE8">
        <v>270</v>
      </c>
      <c r="AF8">
        <v>260</v>
      </c>
      <c r="AG8">
        <v>253</v>
      </c>
      <c r="AH8">
        <v>259</v>
      </c>
      <c r="AI8">
        <v>298</v>
      </c>
      <c r="AJ8">
        <v>208</v>
      </c>
      <c r="AK8">
        <v>265</v>
      </c>
      <c r="AL8">
        <v>305</v>
      </c>
      <c r="AM8">
        <v>270</v>
      </c>
      <c r="AN8">
        <v>250</v>
      </c>
      <c r="AO8">
        <v>164</v>
      </c>
      <c r="AP8">
        <v>183</v>
      </c>
      <c r="AQ8">
        <v>205</v>
      </c>
      <c r="AR8">
        <v>214</v>
      </c>
      <c r="AS8">
        <v>234</v>
      </c>
      <c r="AT8">
        <v>234</v>
      </c>
      <c r="AU8">
        <v>255</v>
      </c>
      <c r="AV8">
        <v>250</v>
      </c>
      <c r="AW8">
        <v>265</v>
      </c>
      <c r="AX8">
        <v>289</v>
      </c>
      <c r="AY8">
        <v>243</v>
      </c>
      <c r="AZ8">
        <v>243</v>
      </c>
      <c r="BA8">
        <v>160</v>
      </c>
      <c r="BB8">
        <v>160</v>
      </c>
      <c r="BC8">
        <v>205</v>
      </c>
      <c r="BD8">
        <v>214</v>
      </c>
      <c r="BE8">
        <v>221</v>
      </c>
      <c r="BF8">
        <v>235</v>
      </c>
      <c r="BG8">
        <v>257</v>
      </c>
      <c r="BH8">
        <v>228</v>
      </c>
      <c r="BI8">
        <v>226</v>
      </c>
      <c r="BJ8">
        <v>277</v>
      </c>
      <c r="BK8">
        <v>275</v>
      </c>
      <c r="BL8">
        <v>275</v>
      </c>
      <c r="BM8">
        <v>93</v>
      </c>
      <c r="BN8">
        <v>134</v>
      </c>
      <c r="BO8">
        <v>134</v>
      </c>
      <c r="BP8">
        <v>141</v>
      </c>
      <c r="BQ8">
        <v>143</v>
      </c>
      <c r="BR8">
        <v>148</v>
      </c>
      <c r="BS8">
        <v>157</v>
      </c>
      <c r="BT8">
        <v>153</v>
      </c>
      <c r="BU8">
        <v>160</v>
      </c>
      <c r="BV8">
        <v>165</v>
      </c>
      <c r="BW8">
        <v>190</v>
      </c>
      <c r="BX8">
        <v>167</v>
      </c>
      <c r="BY8">
        <v>170</v>
      </c>
      <c r="BZ8">
        <v>160</v>
      </c>
      <c r="CA8">
        <v>179</v>
      </c>
      <c r="CB8">
        <v>189</v>
      </c>
      <c r="CC8">
        <v>189</v>
      </c>
      <c r="CD8">
        <v>196</v>
      </c>
      <c r="CE8">
        <v>183</v>
      </c>
      <c r="CF8">
        <v>150</v>
      </c>
      <c r="CG8">
        <v>179</v>
      </c>
      <c r="CH8">
        <v>169</v>
      </c>
      <c r="CI8">
        <v>172</v>
      </c>
      <c r="CJ8">
        <v>175</v>
      </c>
      <c r="CK8">
        <v>169</v>
      </c>
      <c r="CL8">
        <v>127</v>
      </c>
      <c r="CM8">
        <v>150</v>
      </c>
      <c r="CN8">
        <v>172</v>
      </c>
      <c r="CO8">
        <v>171</v>
      </c>
      <c r="CP8">
        <v>157</v>
      </c>
      <c r="CQ8">
        <v>176</v>
      </c>
      <c r="CR8">
        <v>172</v>
      </c>
      <c r="CS8">
        <v>181</v>
      </c>
      <c r="CT8">
        <v>183</v>
      </c>
      <c r="CU8">
        <v>110</v>
      </c>
      <c r="CV8">
        <v>145</v>
      </c>
      <c r="CW8">
        <v>133</v>
      </c>
      <c r="CX8">
        <v>151</v>
      </c>
      <c r="CY8">
        <v>194</v>
      </c>
      <c r="CZ8">
        <v>153</v>
      </c>
      <c r="DA8">
        <v>210</v>
      </c>
      <c r="DB8">
        <v>195</v>
      </c>
      <c r="DC8">
        <v>162</v>
      </c>
      <c r="DD8">
        <v>146</v>
      </c>
      <c r="DE8">
        <v>154</v>
      </c>
      <c r="DF8">
        <v>153</v>
      </c>
      <c r="DG8">
        <v>132</v>
      </c>
      <c r="DH8">
        <v>172</v>
      </c>
      <c r="DI8">
        <v>167</v>
      </c>
      <c r="DJ8">
        <v>172</v>
      </c>
      <c r="DK8">
        <v>285</v>
      </c>
      <c r="DL8">
        <v>188</v>
      </c>
      <c r="DM8">
        <v>221</v>
      </c>
      <c r="DN8">
        <v>214</v>
      </c>
      <c r="DO8">
        <v>180</v>
      </c>
      <c r="DP8">
        <v>150</v>
      </c>
      <c r="DQ8">
        <v>151</v>
      </c>
      <c r="DR8">
        <v>197</v>
      </c>
      <c r="DS8">
        <v>172</v>
      </c>
      <c r="DT8">
        <v>225</v>
      </c>
      <c r="DU8">
        <v>209</v>
      </c>
      <c r="DV8" t="s">
        <v>351</v>
      </c>
      <c r="DW8">
        <v>255</v>
      </c>
      <c r="DX8">
        <v>216</v>
      </c>
      <c r="DY8">
        <v>203</v>
      </c>
      <c r="DZ8">
        <v>193</v>
      </c>
      <c r="EA8">
        <v>147</v>
      </c>
      <c r="EB8">
        <v>137</v>
      </c>
      <c r="EC8">
        <v>163</v>
      </c>
      <c r="ED8" t="s">
        <v>351</v>
      </c>
    </row>
    <row r="9" spans="1:134" ht="15" customHeight="1" x14ac:dyDescent="0.3">
      <c r="A9" t="s">
        <v>352</v>
      </c>
      <c r="B9" t="s">
        <v>351</v>
      </c>
      <c r="C9" t="s">
        <v>351</v>
      </c>
      <c r="D9" t="s">
        <v>351</v>
      </c>
      <c r="E9" t="s">
        <v>351</v>
      </c>
      <c r="F9" t="s">
        <v>351</v>
      </c>
      <c r="G9" t="s">
        <v>351</v>
      </c>
      <c r="H9" t="s">
        <v>351</v>
      </c>
      <c r="I9" t="s">
        <v>351</v>
      </c>
      <c r="J9" t="s">
        <v>351</v>
      </c>
      <c r="K9" t="s">
        <v>351</v>
      </c>
      <c r="L9" t="s">
        <v>351</v>
      </c>
      <c r="M9" t="s">
        <v>351</v>
      </c>
      <c r="N9" t="s">
        <v>351</v>
      </c>
      <c r="O9" t="s">
        <v>351</v>
      </c>
      <c r="P9" t="s">
        <v>351</v>
      </c>
      <c r="Q9" t="s">
        <v>351</v>
      </c>
      <c r="R9" t="s">
        <v>351</v>
      </c>
      <c r="S9" t="s">
        <v>351</v>
      </c>
      <c r="T9" t="s">
        <v>351</v>
      </c>
      <c r="U9" t="s">
        <v>351</v>
      </c>
      <c r="V9" t="s">
        <v>351</v>
      </c>
      <c r="W9" t="s">
        <v>351</v>
      </c>
      <c r="X9" t="s">
        <v>351</v>
      </c>
      <c r="Y9" t="s">
        <v>351</v>
      </c>
      <c r="Z9" t="s">
        <v>351</v>
      </c>
      <c r="AA9" t="s">
        <v>351</v>
      </c>
      <c r="AB9" t="s">
        <v>351</v>
      </c>
      <c r="AC9" t="s">
        <v>351</v>
      </c>
      <c r="AD9" t="s">
        <v>351</v>
      </c>
      <c r="AE9" t="s">
        <v>351</v>
      </c>
      <c r="AF9" t="s">
        <v>351</v>
      </c>
      <c r="AG9" t="s">
        <v>351</v>
      </c>
      <c r="AH9" t="s">
        <v>351</v>
      </c>
      <c r="AI9" t="s">
        <v>351</v>
      </c>
      <c r="AJ9" t="s">
        <v>351</v>
      </c>
      <c r="AK9" t="s">
        <v>351</v>
      </c>
      <c r="AL9" t="s">
        <v>351</v>
      </c>
      <c r="AM9" t="s">
        <v>351</v>
      </c>
      <c r="AN9" t="s">
        <v>351</v>
      </c>
      <c r="AO9" t="s">
        <v>351</v>
      </c>
      <c r="AP9" t="s">
        <v>351</v>
      </c>
      <c r="AQ9" t="s">
        <v>351</v>
      </c>
      <c r="AR9" t="s">
        <v>351</v>
      </c>
      <c r="AS9" t="s">
        <v>351</v>
      </c>
      <c r="AT9" t="s">
        <v>351</v>
      </c>
      <c r="AU9" t="s">
        <v>351</v>
      </c>
      <c r="AV9" t="s">
        <v>351</v>
      </c>
      <c r="AW9" t="s">
        <v>351</v>
      </c>
      <c r="AX9" t="s">
        <v>351</v>
      </c>
      <c r="AY9" t="s">
        <v>351</v>
      </c>
      <c r="AZ9" t="s">
        <v>351</v>
      </c>
      <c r="BA9" t="s">
        <v>351</v>
      </c>
      <c r="BB9" t="s">
        <v>351</v>
      </c>
      <c r="BC9" t="s">
        <v>351</v>
      </c>
      <c r="BD9" t="s">
        <v>351</v>
      </c>
      <c r="BE9" t="s">
        <v>351</v>
      </c>
      <c r="BF9" t="s">
        <v>351</v>
      </c>
      <c r="BG9" t="s">
        <v>351</v>
      </c>
      <c r="BH9" t="s">
        <v>351</v>
      </c>
      <c r="BI9" t="s">
        <v>351</v>
      </c>
      <c r="BJ9" t="s">
        <v>351</v>
      </c>
      <c r="BK9" t="s">
        <v>351</v>
      </c>
      <c r="BL9" t="s">
        <v>351</v>
      </c>
      <c r="BM9" t="s">
        <v>351</v>
      </c>
      <c r="BN9" t="s">
        <v>351</v>
      </c>
      <c r="BO9" t="s">
        <v>351</v>
      </c>
      <c r="BP9" t="s">
        <v>351</v>
      </c>
      <c r="BQ9" t="s">
        <v>351</v>
      </c>
      <c r="BR9" t="s">
        <v>351</v>
      </c>
      <c r="BS9" t="s">
        <v>351</v>
      </c>
      <c r="BT9" t="s">
        <v>351</v>
      </c>
      <c r="BU9" t="s">
        <v>351</v>
      </c>
      <c r="BV9" t="s">
        <v>351</v>
      </c>
      <c r="BW9" t="s">
        <v>351</v>
      </c>
      <c r="BX9" t="s">
        <v>351</v>
      </c>
      <c r="BY9" t="s">
        <v>351</v>
      </c>
      <c r="BZ9" t="s">
        <v>351</v>
      </c>
      <c r="CA9" t="s">
        <v>351</v>
      </c>
      <c r="CB9" t="s">
        <v>351</v>
      </c>
      <c r="CC9" t="s">
        <v>351</v>
      </c>
      <c r="CD9" t="s">
        <v>351</v>
      </c>
      <c r="CE9" t="s">
        <v>351</v>
      </c>
      <c r="CF9" t="s">
        <v>351</v>
      </c>
      <c r="CG9" t="s">
        <v>351</v>
      </c>
      <c r="CH9" t="s">
        <v>351</v>
      </c>
      <c r="CI9" t="s">
        <v>351</v>
      </c>
      <c r="CJ9" t="s">
        <v>351</v>
      </c>
      <c r="CK9" t="s">
        <v>351</v>
      </c>
      <c r="CL9" t="s">
        <v>351</v>
      </c>
      <c r="CM9" t="s">
        <v>351</v>
      </c>
      <c r="CN9" t="s">
        <v>351</v>
      </c>
      <c r="CO9" t="s">
        <v>351</v>
      </c>
      <c r="CP9" t="s">
        <v>351</v>
      </c>
      <c r="CQ9" t="s">
        <v>351</v>
      </c>
      <c r="CR9" t="s">
        <v>351</v>
      </c>
      <c r="CS9" t="s">
        <v>351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</row>
    <row r="11" spans="1:134" ht="15" customHeight="1" x14ac:dyDescent="0.3">
      <c r="A11" t="s">
        <v>30</v>
      </c>
      <c r="B11">
        <f t="shared" ref="B11:AG11" si="0">SUM(B7:B9)</f>
        <v>0</v>
      </c>
      <c r="C11">
        <f t="shared" si="0"/>
        <v>0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202</v>
      </c>
      <c r="H11">
        <f t="shared" si="0"/>
        <v>187</v>
      </c>
      <c r="I11">
        <f t="shared" si="0"/>
        <v>207</v>
      </c>
      <c r="J11">
        <f t="shared" si="0"/>
        <v>0</v>
      </c>
      <c r="K11">
        <f t="shared" si="0"/>
        <v>0</v>
      </c>
      <c r="L11">
        <f t="shared" si="0"/>
        <v>215</v>
      </c>
      <c r="M11">
        <f t="shared" si="0"/>
        <v>236</v>
      </c>
      <c r="N11">
        <f t="shared" si="0"/>
        <v>379</v>
      </c>
      <c r="O11">
        <f t="shared" si="0"/>
        <v>410</v>
      </c>
      <c r="P11">
        <f t="shared" si="0"/>
        <v>423</v>
      </c>
      <c r="Q11">
        <f t="shared" si="0"/>
        <v>415</v>
      </c>
      <c r="R11">
        <f t="shared" si="0"/>
        <v>396</v>
      </c>
      <c r="S11">
        <f t="shared" si="0"/>
        <v>361</v>
      </c>
      <c r="T11">
        <f t="shared" si="0"/>
        <v>407</v>
      </c>
      <c r="U11">
        <f t="shared" si="0"/>
        <v>407</v>
      </c>
      <c r="V11">
        <f t="shared" si="0"/>
        <v>407</v>
      </c>
      <c r="W11">
        <f t="shared" si="0"/>
        <v>309</v>
      </c>
      <c r="X11">
        <f t="shared" si="0"/>
        <v>248</v>
      </c>
      <c r="Y11">
        <f t="shared" si="0"/>
        <v>312</v>
      </c>
      <c r="Z11">
        <f t="shared" si="0"/>
        <v>459</v>
      </c>
      <c r="AA11">
        <f t="shared" si="0"/>
        <v>418</v>
      </c>
      <c r="AB11">
        <f t="shared" si="0"/>
        <v>447</v>
      </c>
      <c r="AC11">
        <f t="shared" si="0"/>
        <v>489</v>
      </c>
      <c r="AD11">
        <f t="shared" si="0"/>
        <v>418</v>
      </c>
      <c r="AE11">
        <f t="shared" si="0"/>
        <v>352</v>
      </c>
      <c r="AF11">
        <f t="shared" si="0"/>
        <v>367</v>
      </c>
      <c r="AG11">
        <f t="shared" si="0"/>
        <v>298</v>
      </c>
      <c r="AH11">
        <f t="shared" ref="AH11:BM11" si="1">SUM(AH7:AH9)</f>
        <v>362</v>
      </c>
      <c r="AI11">
        <f t="shared" si="1"/>
        <v>479</v>
      </c>
      <c r="AJ11">
        <f t="shared" si="1"/>
        <v>295</v>
      </c>
      <c r="AK11">
        <f t="shared" si="1"/>
        <v>463</v>
      </c>
      <c r="AL11">
        <f t="shared" si="1"/>
        <v>462</v>
      </c>
      <c r="AM11">
        <f t="shared" si="1"/>
        <v>400</v>
      </c>
      <c r="AN11">
        <f t="shared" si="1"/>
        <v>367</v>
      </c>
      <c r="AO11">
        <f t="shared" si="1"/>
        <v>349</v>
      </c>
      <c r="AP11">
        <f t="shared" si="1"/>
        <v>440</v>
      </c>
      <c r="AQ11">
        <f t="shared" si="1"/>
        <v>375</v>
      </c>
      <c r="AR11">
        <f t="shared" si="1"/>
        <v>406</v>
      </c>
      <c r="AS11">
        <f t="shared" si="1"/>
        <v>398</v>
      </c>
      <c r="AT11">
        <f t="shared" si="1"/>
        <v>410</v>
      </c>
      <c r="AU11">
        <f t="shared" si="1"/>
        <v>404</v>
      </c>
      <c r="AV11">
        <f t="shared" si="1"/>
        <v>396</v>
      </c>
      <c r="AW11">
        <f t="shared" si="1"/>
        <v>419</v>
      </c>
      <c r="AX11">
        <f t="shared" si="1"/>
        <v>451</v>
      </c>
      <c r="AY11">
        <f t="shared" si="1"/>
        <v>389</v>
      </c>
      <c r="AZ11">
        <f t="shared" si="1"/>
        <v>399</v>
      </c>
      <c r="BA11">
        <f t="shared" si="1"/>
        <v>323</v>
      </c>
      <c r="BB11">
        <f t="shared" si="1"/>
        <v>323</v>
      </c>
      <c r="BC11">
        <f t="shared" si="1"/>
        <v>383</v>
      </c>
      <c r="BD11">
        <f t="shared" si="1"/>
        <v>272</v>
      </c>
      <c r="BE11">
        <f t="shared" si="1"/>
        <v>272</v>
      </c>
      <c r="BF11">
        <f t="shared" si="1"/>
        <v>296</v>
      </c>
      <c r="BG11">
        <f t="shared" si="1"/>
        <v>497</v>
      </c>
      <c r="BH11">
        <f t="shared" si="1"/>
        <v>339</v>
      </c>
      <c r="BI11">
        <f t="shared" si="1"/>
        <v>330</v>
      </c>
      <c r="BJ11">
        <f t="shared" si="1"/>
        <v>377</v>
      </c>
      <c r="BK11">
        <f t="shared" si="1"/>
        <v>375</v>
      </c>
      <c r="BL11">
        <f t="shared" si="1"/>
        <v>375</v>
      </c>
      <c r="BM11">
        <f t="shared" si="1"/>
        <v>193</v>
      </c>
      <c r="BN11">
        <f t="shared" ref="BN11:CS11" si="2">SUM(BN7:BN9)</f>
        <v>234</v>
      </c>
      <c r="BO11">
        <f t="shared" si="2"/>
        <v>234</v>
      </c>
      <c r="BP11">
        <f t="shared" si="2"/>
        <v>297</v>
      </c>
      <c r="BQ11">
        <f t="shared" si="2"/>
        <v>316</v>
      </c>
      <c r="BR11">
        <f t="shared" si="2"/>
        <v>243</v>
      </c>
      <c r="BS11">
        <f t="shared" si="2"/>
        <v>296</v>
      </c>
      <c r="BT11">
        <f t="shared" si="2"/>
        <v>265</v>
      </c>
      <c r="BU11">
        <f t="shared" si="2"/>
        <v>252</v>
      </c>
      <c r="BV11">
        <f t="shared" si="2"/>
        <v>341</v>
      </c>
      <c r="BW11">
        <f t="shared" si="2"/>
        <v>348</v>
      </c>
      <c r="BX11">
        <f t="shared" si="2"/>
        <v>300</v>
      </c>
      <c r="BY11">
        <f t="shared" si="2"/>
        <v>281</v>
      </c>
      <c r="BZ11">
        <f t="shared" si="2"/>
        <v>285</v>
      </c>
      <c r="CA11">
        <f t="shared" si="2"/>
        <v>311</v>
      </c>
      <c r="CB11">
        <f t="shared" si="2"/>
        <v>289</v>
      </c>
      <c r="CC11">
        <f t="shared" si="2"/>
        <v>212</v>
      </c>
      <c r="CD11">
        <f t="shared" si="2"/>
        <v>281</v>
      </c>
      <c r="CE11">
        <f t="shared" si="2"/>
        <v>430</v>
      </c>
      <c r="CF11">
        <f t="shared" si="2"/>
        <v>355</v>
      </c>
      <c r="CG11">
        <f t="shared" si="2"/>
        <v>447</v>
      </c>
      <c r="CH11">
        <f t="shared" si="2"/>
        <v>425</v>
      </c>
      <c r="CI11">
        <f t="shared" si="2"/>
        <v>459</v>
      </c>
      <c r="CJ11">
        <f t="shared" si="2"/>
        <v>545</v>
      </c>
      <c r="CK11">
        <f t="shared" si="2"/>
        <v>479</v>
      </c>
      <c r="CL11">
        <f t="shared" si="2"/>
        <v>488</v>
      </c>
      <c r="CM11">
        <f t="shared" si="2"/>
        <v>363</v>
      </c>
      <c r="CN11">
        <f t="shared" si="2"/>
        <v>521</v>
      </c>
      <c r="CO11">
        <f t="shared" si="2"/>
        <v>397</v>
      </c>
      <c r="CP11">
        <f t="shared" si="2"/>
        <v>373</v>
      </c>
      <c r="CQ11">
        <f t="shared" si="2"/>
        <v>460</v>
      </c>
      <c r="CR11">
        <f t="shared" si="2"/>
        <v>439</v>
      </c>
      <c r="CS11">
        <f t="shared" si="2"/>
        <v>414</v>
      </c>
      <c r="CT11">
        <f t="shared" ref="CT11:ED11" si="3">SUM(CT7:CT9)</f>
        <v>439</v>
      </c>
      <c r="CU11">
        <f t="shared" si="3"/>
        <v>397</v>
      </c>
      <c r="CV11">
        <f t="shared" si="3"/>
        <v>414</v>
      </c>
      <c r="CW11">
        <f t="shared" si="3"/>
        <v>398</v>
      </c>
      <c r="CX11">
        <f t="shared" si="3"/>
        <v>468</v>
      </c>
      <c r="CY11">
        <f t="shared" si="3"/>
        <v>454</v>
      </c>
      <c r="CZ11">
        <f t="shared" si="3"/>
        <v>420</v>
      </c>
      <c r="DA11">
        <f t="shared" si="3"/>
        <v>628</v>
      </c>
      <c r="DB11">
        <f t="shared" si="3"/>
        <v>575</v>
      </c>
      <c r="DC11">
        <f t="shared" si="3"/>
        <v>559</v>
      </c>
      <c r="DD11">
        <f t="shared" si="3"/>
        <v>381</v>
      </c>
      <c r="DE11">
        <f t="shared" si="3"/>
        <v>554</v>
      </c>
      <c r="DF11">
        <f t="shared" si="3"/>
        <v>518</v>
      </c>
      <c r="DG11">
        <f t="shared" si="3"/>
        <v>422</v>
      </c>
      <c r="DH11">
        <f t="shared" si="3"/>
        <v>440</v>
      </c>
      <c r="DI11">
        <f t="shared" si="3"/>
        <v>407</v>
      </c>
      <c r="DJ11">
        <f t="shared" si="3"/>
        <v>440</v>
      </c>
      <c r="DK11">
        <f t="shared" si="3"/>
        <v>545</v>
      </c>
      <c r="DL11">
        <f t="shared" si="3"/>
        <v>436</v>
      </c>
      <c r="DM11">
        <f t="shared" si="3"/>
        <v>489</v>
      </c>
      <c r="DN11">
        <f t="shared" si="3"/>
        <v>511</v>
      </c>
      <c r="DO11">
        <f t="shared" si="3"/>
        <v>508</v>
      </c>
      <c r="DP11">
        <f t="shared" si="3"/>
        <v>432</v>
      </c>
      <c r="DQ11">
        <f t="shared" si="3"/>
        <v>422</v>
      </c>
      <c r="DR11">
        <f t="shared" si="3"/>
        <v>438</v>
      </c>
      <c r="DS11">
        <f t="shared" si="3"/>
        <v>444</v>
      </c>
      <c r="DT11">
        <f t="shared" si="3"/>
        <v>573</v>
      </c>
      <c r="DU11">
        <f t="shared" si="3"/>
        <v>482</v>
      </c>
      <c r="DV11">
        <f t="shared" si="3"/>
        <v>288</v>
      </c>
      <c r="DW11">
        <f t="shared" si="3"/>
        <v>497</v>
      </c>
      <c r="DX11">
        <f t="shared" si="3"/>
        <v>512</v>
      </c>
      <c r="DY11">
        <f t="shared" si="3"/>
        <v>494</v>
      </c>
      <c r="DZ11">
        <f t="shared" si="3"/>
        <v>462</v>
      </c>
      <c r="EA11">
        <f t="shared" si="3"/>
        <v>398</v>
      </c>
      <c r="EB11">
        <f t="shared" si="3"/>
        <v>383</v>
      </c>
      <c r="EC11">
        <f t="shared" si="3"/>
        <v>379</v>
      </c>
      <c r="ED11">
        <f t="shared" si="3"/>
        <v>193</v>
      </c>
    </row>
    <row r="13" spans="1:134" ht="15" customHeight="1" x14ac:dyDescent="0.3">
      <c r="B13">
        <f t="shared" ref="B13:AG13" si="4">B11*0.65</f>
        <v>0</v>
      </c>
      <c r="C13">
        <f t="shared" si="4"/>
        <v>0</v>
      </c>
      <c r="D13">
        <f t="shared" si="4"/>
        <v>0</v>
      </c>
      <c r="E13">
        <f t="shared" si="4"/>
        <v>0</v>
      </c>
      <c r="F13">
        <f t="shared" si="4"/>
        <v>0</v>
      </c>
      <c r="G13">
        <f t="shared" si="4"/>
        <v>131.30000000000001</v>
      </c>
      <c r="H13">
        <f t="shared" si="4"/>
        <v>121.55</v>
      </c>
      <c r="I13">
        <f t="shared" si="4"/>
        <v>134.55000000000001</v>
      </c>
      <c r="J13">
        <f t="shared" si="4"/>
        <v>0</v>
      </c>
      <c r="K13">
        <f t="shared" si="4"/>
        <v>0</v>
      </c>
      <c r="L13">
        <f t="shared" si="4"/>
        <v>139.75</v>
      </c>
      <c r="M13">
        <f t="shared" si="4"/>
        <v>153.4</v>
      </c>
      <c r="N13">
        <f t="shared" si="4"/>
        <v>246.35</v>
      </c>
      <c r="O13">
        <f t="shared" si="4"/>
        <v>266.5</v>
      </c>
      <c r="P13">
        <f t="shared" si="4"/>
        <v>274.95</v>
      </c>
      <c r="Q13">
        <f t="shared" si="4"/>
        <v>269.75</v>
      </c>
      <c r="R13">
        <f t="shared" si="4"/>
        <v>257.40000000000003</v>
      </c>
      <c r="S13">
        <f t="shared" si="4"/>
        <v>234.65</v>
      </c>
      <c r="T13">
        <f t="shared" si="4"/>
        <v>264.55</v>
      </c>
      <c r="U13">
        <f t="shared" si="4"/>
        <v>264.55</v>
      </c>
      <c r="V13">
        <f t="shared" si="4"/>
        <v>264.55</v>
      </c>
      <c r="W13">
        <f t="shared" si="4"/>
        <v>200.85</v>
      </c>
      <c r="X13">
        <f t="shared" si="4"/>
        <v>161.20000000000002</v>
      </c>
      <c r="Y13">
        <f t="shared" si="4"/>
        <v>202.8</v>
      </c>
      <c r="Z13">
        <f t="shared" si="4"/>
        <v>298.35000000000002</v>
      </c>
      <c r="AA13">
        <f t="shared" si="4"/>
        <v>271.7</v>
      </c>
      <c r="AB13">
        <f t="shared" si="4"/>
        <v>290.55</v>
      </c>
      <c r="AC13">
        <f t="shared" si="4"/>
        <v>317.85000000000002</v>
      </c>
      <c r="AD13">
        <f t="shared" si="4"/>
        <v>271.7</v>
      </c>
      <c r="AE13">
        <f t="shared" si="4"/>
        <v>228.8</v>
      </c>
      <c r="AF13">
        <f t="shared" si="4"/>
        <v>238.55</v>
      </c>
      <c r="AG13">
        <f t="shared" si="4"/>
        <v>193.70000000000002</v>
      </c>
      <c r="AH13">
        <f t="shared" ref="AH13:BM13" si="5">AH11*0.65</f>
        <v>235.3</v>
      </c>
      <c r="AI13">
        <f t="shared" si="5"/>
        <v>311.35000000000002</v>
      </c>
      <c r="AJ13">
        <f t="shared" si="5"/>
        <v>191.75</v>
      </c>
      <c r="AK13">
        <f t="shared" si="5"/>
        <v>300.95</v>
      </c>
      <c r="AL13">
        <f t="shared" si="5"/>
        <v>300.3</v>
      </c>
      <c r="AM13">
        <f t="shared" si="5"/>
        <v>260</v>
      </c>
      <c r="AN13">
        <f t="shared" si="5"/>
        <v>238.55</v>
      </c>
      <c r="AO13">
        <f t="shared" si="5"/>
        <v>226.85</v>
      </c>
      <c r="AP13">
        <f t="shared" si="5"/>
        <v>286</v>
      </c>
      <c r="AQ13">
        <f t="shared" si="5"/>
        <v>243.75</v>
      </c>
      <c r="AR13">
        <f t="shared" si="5"/>
        <v>263.90000000000003</v>
      </c>
      <c r="AS13">
        <f t="shared" si="5"/>
        <v>258.7</v>
      </c>
      <c r="AT13">
        <f t="shared" si="5"/>
        <v>266.5</v>
      </c>
      <c r="AU13">
        <f t="shared" si="5"/>
        <v>262.60000000000002</v>
      </c>
      <c r="AV13">
        <f t="shared" si="5"/>
        <v>257.40000000000003</v>
      </c>
      <c r="AW13">
        <f t="shared" si="5"/>
        <v>272.35000000000002</v>
      </c>
      <c r="AX13">
        <f t="shared" si="5"/>
        <v>293.15000000000003</v>
      </c>
      <c r="AY13">
        <f t="shared" si="5"/>
        <v>252.85000000000002</v>
      </c>
      <c r="AZ13">
        <f t="shared" si="5"/>
        <v>259.35000000000002</v>
      </c>
      <c r="BA13">
        <f t="shared" si="5"/>
        <v>209.95000000000002</v>
      </c>
      <c r="BB13">
        <f t="shared" si="5"/>
        <v>209.95000000000002</v>
      </c>
      <c r="BC13">
        <f t="shared" si="5"/>
        <v>248.95000000000002</v>
      </c>
      <c r="BD13">
        <f t="shared" si="5"/>
        <v>176.8</v>
      </c>
      <c r="BE13">
        <f t="shared" si="5"/>
        <v>176.8</v>
      </c>
      <c r="BF13">
        <f t="shared" si="5"/>
        <v>192.4</v>
      </c>
      <c r="BG13">
        <f t="shared" si="5"/>
        <v>323.05</v>
      </c>
      <c r="BH13">
        <f t="shared" si="5"/>
        <v>220.35</v>
      </c>
      <c r="BI13">
        <f t="shared" si="5"/>
        <v>214.5</v>
      </c>
      <c r="BJ13">
        <f t="shared" si="5"/>
        <v>245.05</v>
      </c>
      <c r="BK13">
        <f t="shared" si="5"/>
        <v>243.75</v>
      </c>
      <c r="BL13">
        <f t="shared" si="5"/>
        <v>243.75</v>
      </c>
      <c r="BM13">
        <f t="shared" si="5"/>
        <v>125.45</v>
      </c>
      <c r="BN13">
        <f t="shared" ref="BN13:CS13" si="6">BN11*0.65</f>
        <v>152.1</v>
      </c>
      <c r="BO13">
        <f t="shared" si="6"/>
        <v>152.1</v>
      </c>
      <c r="BP13">
        <f t="shared" si="6"/>
        <v>193.05</v>
      </c>
      <c r="BQ13">
        <f t="shared" si="6"/>
        <v>205.4</v>
      </c>
      <c r="BR13">
        <f t="shared" si="6"/>
        <v>157.95000000000002</v>
      </c>
      <c r="BS13">
        <f t="shared" si="6"/>
        <v>192.4</v>
      </c>
      <c r="BT13">
        <f t="shared" si="6"/>
        <v>172.25</v>
      </c>
      <c r="BU13">
        <f t="shared" si="6"/>
        <v>163.80000000000001</v>
      </c>
      <c r="BV13">
        <f t="shared" si="6"/>
        <v>221.65</v>
      </c>
      <c r="BW13">
        <f t="shared" si="6"/>
        <v>226.20000000000002</v>
      </c>
      <c r="BX13">
        <f t="shared" si="6"/>
        <v>195</v>
      </c>
      <c r="BY13">
        <f t="shared" si="6"/>
        <v>182.65</v>
      </c>
      <c r="BZ13">
        <f t="shared" si="6"/>
        <v>185.25</v>
      </c>
      <c r="CA13">
        <f t="shared" si="6"/>
        <v>202.15</v>
      </c>
      <c r="CB13">
        <f t="shared" si="6"/>
        <v>187.85</v>
      </c>
      <c r="CC13">
        <f t="shared" si="6"/>
        <v>137.80000000000001</v>
      </c>
      <c r="CD13">
        <f t="shared" si="6"/>
        <v>182.65</v>
      </c>
      <c r="CE13">
        <f t="shared" si="6"/>
        <v>279.5</v>
      </c>
      <c r="CF13">
        <f t="shared" si="6"/>
        <v>230.75</v>
      </c>
      <c r="CG13">
        <f t="shared" si="6"/>
        <v>290.55</v>
      </c>
      <c r="CH13">
        <f t="shared" si="6"/>
        <v>276.25</v>
      </c>
      <c r="CI13">
        <f t="shared" si="6"/>
        <v>298.35000000000002</v>
      </c>
      <c r="CJ13">
        <f t="shared" si="6"/>
        <v>354.25</v>
      </c>
      <c r="CK13">
        <f t="shared" si="6"/>
        <v>311.35000000000002</v>
      </c>
      <c r="CL13">
        <f t="shared" si="6"/>
        <v>317.2</v>
      </c>
      <c r="CM13">
        <f t="shared" si="6"/>
        <v>235.95000000000002</v>
      </c>
      <c r="CN13">
        <f t="shared" si="6"/>
        <v>338.65000000000003</v>
      </c>
      <c r="CO13">
        <f t="shared" si="6"/>
        <v>258.05</v>
      </c>
      <c r="CP13">
        <f t="shared" si="6"/>
        <v>242.45000000000002</v>
      </c>
      <c r="CQ13">
        <f t="shared" si="6"/>
        <v>299</v>
      </c>
      <c r="CR13">
        <f t="shared" si="6"/>
        <v>285.35000000000002</v>
      </c>
      <c r="CS13">
        <f t="shared" si="6"/>
        <v>269.10000000000002</v>
      </c>
      <c r="CT13">
        <f t="shared" ref="CT13:ED13" si="7">CT11*0.65</f>
        <v>285.35000000000002</v>
      </c>
      <c r="CU13">
        <f t="shared" si="7"/>
        <v>258.05</v>
      </c>
      <c r="CV13">
        <f t="shared" si="7"/>
        <v>269.10000000000002</v>
      </c>
      <c r="CW13">
        <f t="shared" si="7"/>
        <v>258.7</v>
      </c>
      <c r="CX13">
        <f t="shared" si="7"/>
        <v>304.2</v>
      </c>
      <c r="CY13">
        <f t="shared" si="7"/>
        <v>295.10000000000002</v>
      </c>
      <c r="CZ13">
        <f t="shared" si="7"/>
        <v>273</v>
      </c>
      <c r="DA13">
        <f t="shared" si="7"/>
        <v>408.2</v>
      </c>
      <c r="DB13">
        <f t="shared" si="7"/>
        <v>373.75</v>
      </c>
      <c r="DC13">
        <f t="shared" si="7"/>
        <v>363.35</v>
      </c>
      <c r="DD13">
        <f t="shared" si="7"/>
        <v>247.65</v>
      </c>
      <c r="DE13">
        <f t="shared" si="7"/>
        <v>360.1</v>
      </c>
      <c r="DF13">
        <f t="shared" si="7"/>
        <v>336.7</v>
      </c>
      <c r="DG13">
        <f t="shared" si="7"/>
        <v>274.3</v>
      </c>
      <c r="DH13">
        <f t="shared" si="7"/>
        <v>286</v>
      </c>
      <c r="DI13">
        <f t="shared" si="7"/>
        <v>264.55</v>
      </c>
      <c r="DJ13">
        <f t="shared" si="7"/>
        <v>286</v>
      </c>
      <c r="DK13">
        <f t="shared" si="7"/>
        <v>354.25</v>
      </c>
      <c r="DL13">
        <f t="shared" si="7"/>
        <v>283.40000000000003</v>
      </c>
      <c r="DM13">
        <f t="shared" si="7"/>
        <v>317.85000000000002</v>
      </c>
      <c r="DN13">
        <f t="shared" si="7"/>
        <v>332.15000000000003</v>
      </c>
      <c r="DO13">
        <f t="shared" si="7"/>
        <v>330.2</v>
      </c>
      <c r="DP13">
        <f t="shared" si="7"/>
        <v>280.8</v>
      </c>
      <c r="DQ13">
        <f t="shared" si="7"/>
        <v>274.3</v>
      </c>
      <c r="DR13">
        <f t="shared" si="7"/>
        <v>284.7</v>
      </c>
      <c r="DS13">
        <f t="shared" si="7"/>
        <v>288.60000000000002</v>
      </c>
      <c r="DT13">
        <f t="shared" si="7"/>
        <v>372.45</v>
      </c>
      <c r="DU13">
        <f t="shared" si="7"/>
        <v>313.3</v>
      </c>
      <c r="DV13">
        <f t="shared" si="7"/>
        <v>187.20000000000002</v>
      </c>
      <c r="DW13">
        <f t="shared" si="7"/>
        <v>323.05</v>
      </c>
      <c r="DX13">
        <f t="shared" si="7"/>
        <v>332.8</v>
      </c>
      <c r="DY13">
        <f t="shared" si="7"/>
        <v>321.10000000000002</v>
      </c>
      <c r="DZ13">
        <f t="shared" si="7"/>
        <v>300.3</v>
      </c>
      <c r="EA13">
        <f t="shared" si="7"/>
        <v>258.7</v>
      </c>
      <c r="EB13">
        <f t="shared" si="7"/>
        <v>248.95000000000002</v>
      </c>
      <c r="EC13">
        <f t="shared" si="7"/>
        <v>246.35</v>
      </c>
      <c r="ED13">
        <f t="shared" si="7"/>
        <v>125.45</v>
      </c>
    </row>
    <row r="16" spans="1:134" ht="15" customHeight="1" x14ac:dyDescent="0.3">
      <c r="A16" s="35">
        <v>43101</v>
      </c>
    </row>
    <row r="17" spans="1:1" ht="15" customHeight="1" x14ac:dyDescent="0.3">
      <c r="A17" s="35">
        <v>43132</v>
      </c>
    </row>
    <row r="18" spans="1:1" ht="15" customHeight="1" x14ac:dyDescent="0.3">
      <c r="A18" s="35">
        <v>43160</v>
      </c>
    </row>
    <row r="19" spans="1:1" ht="15" customHeight="1" x14ac:dyDescent="0.3">
      <c r="A19" s="35">
        <v>43191</v>
      </c>
    </row>
    <row r="20" spans="1:1" ht="15" customHeight="1" x14ac:dyDescent="0.3">
      <c r="A20" s="35">
        <v>43221</v>
      </c>
    </row>
    <row r="21" spans="1:1" ht="15" customHeight="1" x14ac:dyDescent="0.3">
      <c r="A21" s="35">
        <v>43252</v>
      </c>
    </row>
    <row r="22" spans="1:1" ht="15" customHeight="1" x14ac:dyDescent="0.3">
      <c r="A22" s="35">
        <v>43282</v>
      </c>
    </row>
    <row r="23" spans="1:1" ht="15" customHeight="1" x14ac:dyDescent="0.3">
      <c r="A23" s="35">
        <v>43313</v>
      </c>
    </row>
    <row r="24" spans="1:1" ht="15" customHeight="1" x14ac:dyDescent="0.3">
      <c r="A24" s="35">
        <v>43344</v>
      </c>
    </row>
    <row r="25" spans="1:1" ht="15" customHeight="1" x14ac:dyDescent="0.3">
      <c r="A25" s="35">
        <v>43374</v>
      </c>
    </row>
    <row r="26" spans="1:1" ht="15" customHeight="1" x14ac:dyDescent="0.3">
      <c r="A26" s="35">
        <v>43405</v>
      </c>
    </row>
    <row r="27" spans="1:1" ht="15" customHeight="1" x14ac:dyDescent="0.3">
      <c r="A27" s="35">
        <v>43435</v>
      </c>
    </row>
    <row r="28" spans="1:1" ht="15" customHeight="1" x14ac:dyDescent="0.3">
      <c r="A28" s="35">
        <v>43466</v>
      </c>
    </row>
    <row r="29" spans="1:1" ht="15" customHeight="1" x14ac:dyDescent="0.3">
      <c r="A29" s="35">
        <v>43497</v>
      </c>
    </row>
    <row r="30" spans="1:1" ht="15" customHeight="1" x14ac:dyDescent="0.3">
      <c r="A30" s="35">
        <v>43525</v>
      </c>
    </row>
    <row r="31" spans="1:1" ht="15" customHeight="1" x14ac:dyDescent="0.3">
      <c r="A31" s="35">
        <v>43556</v>
      </c>
    </row>
    <row r="32" spans="1:1" ht="15" customHeight="1" x14ac:dyDescent="0.3">
      <c r="A32" s="35">
        <v>43586</v>
      </c>
    </row>
    <row r="33" spans="1:1" ht="15" customHeight="1" x14ac:dyDescent="0.3">
      <c r="A33" s="35">
        <v>43617</v>
      </c>
    </row>
    <row r="34" spans="1:1" ht="15" customHeight="1" x14ac:dyDescent="0.3">
      <c r="A34" s="35">
        <v>43647</v>
      </c>
    </row>
    <row r="35" spans="1:1" ht="15" customHeight="1" x14ac:dyDescent="0.3">
      <c r="A35" s="35">
        <v>43678</v>
      </c>
    </row>
    <row r="36" spans="1:1" ht="15" customHeight="1" x14ac:dyDescent="0.3">
      <c r="A36" s="35">
        <v>43709</v>
      </c>
    </row>
    <row r="37" spans="1:1" ht="15" customHeight="1" x14ac:dyDescent="0.3">
      <c r="A37" s="35">
        <v>43739</v>
      </c>
    </row>
    <row r="38" spans="1:1" ht="15" customHeight="1" x14ac:dyDescent="0.3">
      <c r="A38" s="35">
        <v>43770</v>
      </c>
    </row>
    <row r="39" spans="1:1" ht="15" customHeight="1" x14ac:dyDescent="0.3">
      <c r="A39" s="35">
        <v>43800</v>
      </c>
    </row>
    <row r="40" spans="1:1" ht="15" customHeight="1" x14ac:dyDescent="0.3">
      <c r="A40" s="35">
        <v>43831</v>
      </c>
    </row>
    <row r="41" spans="1:1" ht="15" customHeight="1" x14ac:dyDescent="0.3">
      <c r="A41" s="35">
        <v>43862</v>
      </c>
    </row>
    <row r="42" spans="1:1" ht="15" customHeight="1" x14ac:dyDescent="0.3">
      <c r="A42" s="35">
        <v>43891</v>
      </c>
    </row>
    <row r="43" spans="1:1" ht="15" customHeight="1" x14ac:dyDescent="0.3">
      <c r="A43" s="35">
        <v>43922</v>
      </c>
    </row>
    <row r="44" spans="1:1" ht="15" customHeight="1" x14ac:dyDescent="0.3">
      <c r="A44" s="35">
        <v>43952</v>
      </c>
    </row>
    <row r="45" spans="1:1" ht="15" customHeight="1" x14ac:dyDescent="0.3">
      <c r="A45" s="35">
        <v>43983</v>
      </c>
    </row>
    <row r="46" spans="1:1" ht="15" customHeight="1" x14ac:dyDescent="0.3">
      <c r="A46" s="35">
        <v>44013</v>
      </c>
    </row>
    <row r="47" spans="1:1" ht="15" customHeight="1" x14ac:dyDescent="0.3">
      <c r="A47" s="35">
        <v>44044</v>
      </c>
    </row>
    <row r="48" spans="1:1" ht="15" customHeight="1" x14ac:dyDescent="0.3">
      <c r="A48" s="35">
        <v>44075</v>
      </c>
    </row>
    <row r="49" spans="1:1" ht="15" customHeight="1" x14ac:dyDescent="0.3">
      <c r="A49" s="35">
        <v>44105</v>
      </c>
    </row>
    <row r="50" spans="1:1" ht="15" customHeight="1" x14ac:dyDescent="0.3">
      <c r="A50" s="35">
        <v>44136</v>
      </c>
    </row>
    <row r="51" spans="1:1" ht="15" customHeight="1" x14ac:dyDescent="0.3">
      <c r="A51" s="35">
        <v>44166</v>
      </c>
    </row>
    <row r="52" spans="1:1" ht="15" customHeight="1" x14ac:dyDescent="0.3">
      <c r="A52" s="35">
        <v>44197</v>
      </c>
    </row>
    <row r="53" spans="1:1" ht="15" customHeight="1" x14ac:dyDescent="0.3">
      <c r="A53" s="35">
        <v>44228</v>
      </c>
    </row>
    <row r="54" spans="1:1" ht="15" customHeight="1" x14ac:dyDescent="0.3">
      <c r="A54" s="35">
        <v>44256</v>
      </c>
    </row>
    <row r="55" spans="1:1" ht="15" customHeight="1" x14ac:dyDescent="0.3">
      <c r="A55" s="35">
        <v>44287</v>
      </c>
    </row>
    <row r="56" spans="1:1" ht="15" customHeight="1" x14ac:dyDescent="0.3">
      <c r="A56" s="35">
        <v>44317</v>
      </c>
    </row>
    <row r="57" spans="1:1" ht="15" customHeight="1" x14ac:dyDescent="0.3">
      <c r="A57" s="35">
        <v>44348</v>
      </c>
    </row>
    <row r="58" spans="1:1" ht="15" customHeight="1" x14ac:dyDescent="0.3">
      <c r="A58" s="35">
        <v>44378</v>
      </c>
    </row>
    <row r="59" spans="1:1" ht="15" customHeight="1" x14ac:dyDescent="0.3">
      <c r="A59" s="35">
        <v>44409</v>
      </c>
    </row>
    <row r="60" spans="1:1" ht="15" customHeight="1" x14ac:dyDescent="0.3">
      <c r="A60" s="35">
        <v>44440</v>
      </c>
    </row>
    <row r="61" spans="1:1" ht="15" customHeight="1" x14ac:dyDescent="0.3">
      <c r="A61" s="35">
        <v>44470</v>
      </c>
    </row>
    <row r="62" spans="1:1" ht="15" customHeight="1" x14ac:dyDescent="0.3">
      <c r="A62" s="35">
        <v>44501</v>
      </c>
    </row>
    <row r="63" spans="1:1" ht="15" customHeight="1" x14ac:dyDescent="0.3">
      <c r="A63" s="35">
        <v>44531</v>
      </c>
    </row>
    <row r="64" spans="1:1" ht="15" customHeight="1" x14ac:dyDescent="0.3">
      <c r="A64" s="35">
        <v>44562</v>
      </c>
    </row>
    <row r="65" spans="1:1" ht="15" customHeight="1" x14ac:dyDescent="0.3">
      <c r="A65" s="35">
        <v>44593</v>
      </c>
    </row>
    <row r="66" spans="1:1" ht="15" customHeight="1" x14ac:dyDescent="0.3">
      <c r="A66" s="35">
        <v>44621</v>
      </c>
    </row>
    <row r="67" spans="1:1" ht="15" customHeight="1" x14ac:dyDescent="0.3">
      <c r="A67" s="35">
        <v>44652</v>
      </c>
    </row>
    <row r="68" spans="1:1" ht="15" customHeight="1" x14ac:dyDescent="0.3">
      <c r="A68" s="35">
        <v>44682</v>
      </c>
    </row>
    <row r="69" spans="1:1" ht="15" customHeight="1" x14ac:dyDescent="0.3">
      <c r="A69" s="35">
        <v>44713</v>
      </c>
    </row>
    <row r="70" spans="1:1" ht="15" customHeight="1" x14ac:dyDescent="0.3">
      <c r="A70" s="35">
        <v>44743</v>
      </c>
    </row>
    <row r="71" spans="1:1" ht="15" customHeight="1" x14ac:dyDescent="0.3">
      <c r="A71" s="35">
        <v>44774</v>
      </c>
    </row>
    <row r="72" spans="1:1" ht="15" customHeight="1" x14ac:dyDescent="0.3">
      <c r="A72" s="35">
        <v>44805</v>
      </c>
    </row>
    <row r="73" spans="1:1" ht="15" customHeight="1" x14ac:dyDescent="0.3">
      <c r="A73" s="35">
        <v>44835</v>
      </c>
    </row>
    <row r="74" spans="1:1" ht="15" customHeight="1" x14ac:dyDescent="0.3">
      <c r="A74" s="35">
        <v>44866</v>
      </c>
    </row>
    <row r="75" spans="1:1" ht="15" customHeight="1" x14ac:dyDescent="0.3">
      <c r="A75" s="35">
        <v>44896</v>
      </c>
    </row>
    <row r="76" spans="1:1" ht="15" customHeight="1" x14ac:dyDescent="0.3">
      <c r="A76" s="35">
        <v>44927</v>
      </c>
    </row>
    <row r="77" spans="1:1" ht="15" customHeight="1" x14ac:dyDescent="0.3">
      <c r="A77" s="35">
        <v>44958</v>
      </c>
    </row>
    <row r="78" spans="1:1" ht="15" customHeight="1" x14ac:dyDescent="0.3">
      <c r="A78" s="35">
        <v>44986</v>
      </c>
    </row>
    <row r="79" spans="1:1" ht="15" customHeight="1" x14ac:dyDescent="0.3">
      <c r="A79" s="35">
        <v>45017</v>
      </c>
    </row>
    <row r="80" spans="1:1" ht="15" customHeight="1" x14ac:dyDescent="0.3">
      <c r="A80" s="35">
        <v>45047</v>
      </c>
    </row>
    <row r="81" spans="1:1" ht="15" customHeight="1" x14ac:dyDescent="0.3">
      <c r="A81" s="35">
        <v>45078</v>
      </c>
    </row>
    <row r="82" spans="1:1" ht="15" customHeight="1" x14ac:dyDescent="0.3">
      <c r="A82" s="35">
        <v>45108</v>
      </c>
    </row>
    <row r="83" spans="1:1" ht="15" customHeight="1" x14ac:dyDescent="0.3">
      <c r="A83" s="35">
        <v>45139</v>
      </c>
    </row>
    <row r="84" spans="1:1" ht="15" customHeight="1" x14ac:dyDescent="0.3">
      <c r="A84" s="35">
        <v>45170</v>
      </c>
    </row>
    <row r="85" spans="1:1" ht="15" customHeight="1" x14ac:dyDescent="0.3">
      <c r="A85" s="35">
        <v>45200</v>
      </c>
    </row>
    <row r="86" spans="1:1" ht="15" customHeight="1" x14ac:dyDescent="0.3">
      <c r="A86" s="35">
        <v>45231</v>
      </c>
    </row>
    <row r="87" spans="1:1" ht="15" customHeight="1" x14ac:dyDescent="0.3">
      <c r="A87" s="35">
        <v>45261</v>
      </c>
    </row>
    <row r="88" spans="1:1" ht="15" customHeight="1" x14ac:dyDescent="0.3">
      <c r="A88" s="35">
        <v>45292</v>
      </c>
    </row>
    <row r="89" spans="1:1" ht="15" customHeight="1" x14ac:dyDescent="0.3">
      <c r="A89" s="35">
        <v>45323</v>
      </c>
    </row>
    <row r="90" spans="1:1" ht="15" customHeight="1" x14ac:dyDescent="0.3">
      <c r="A90" s="35">
        <v>45352</v>
      </c>
    </row>
    <row r="91" spans="1:1" ht="15" customHeight="1" x14ac:dyDescent="0.3">
      <c r="A91" s="35">
        <v>45383</v>
      </c>
    </row>
    <row r="92" spans="1:1" ht="15" customHeight="1" x14ac:dyDescent="0.3">
      <c r="A92" s="35">
        <v>45413</v>
      </c>
    </row>
    <row r="93" spans="1:1" ht="15" customHeight="1" x14ac:dyDescent="0.3">
      <c r="A93" s="35">
        <v>45444</v>
      </c>
    </row>
    <row r="94" spans="1:1" ht="15" customHeight="1" x14ac:dyDescent="0.3">
      <c r="A94" s="35">
        <v>45474</v>
      </c>
    </row>
    <row r="95" spans="1:1" ht="15" customHeight="1" x14ac:dyDescent="0.3">
      <c r="A95" s="35">
        <v>45505</v>
      </c>
    </row>
    <row r="96" spans="1:1" ht="15" customHeight="1" x14ac:dyDescent="0.3">
      <c r="A96" s="35">
        <v>45536</v>
      </c>
    </row>
    <row r="97" spans="1:1" ht="15" customHeight="1" x14ac:dyDescent="0.3">
      <c r="A97" s="35">
        <v>45566</v>
      </c>
    </row>
    <row r="98" spans="1:1" ht="15" customHeight="1" x14ac:dyDescent="0.3">
      <c r="A98" s="35">
        <v>45597</v>
      </c>
    </row>
    <row r="99" spans="1:1" ht="15" customHeight="1" x14ac:dyDescent="0.3">
      <c r="A99" s="35">
        <v>45627</v>
      </c>
    </row>
    <row r="100" spans="1:1" ht="15" customHeight="1" x14ac:dyDescent="0.3">
      <c r="A100" s="35">
        <v>45658</v>
      </c>
    </row>
    <row r="101" spans="1:1" ht="15" customHeight="1" x14ac:dyDescent="0.3">
      <c r="A101" s="35">
        <v>45689</v>
      </c>
    </row>
    <row r="102" spans="1:1" ht="15" customHeight="1" x14ac:dyDescent="0.3">
      <c r="A102" s="35">
        <v>45717</v>
      </c>
    </row>
    <row r="103" spans="1:1" ht="15" customHeight="1" x14ac:dyDescent="0.3">
      <c r="A103" s="35">
        <v>45748</v>
      </c>
    </row>
    <row r="104" spans="1:1" ht="15" customHeight="1" x14ac:dyDescent="0.3">
      <c r="A104" s="35">
        <v>45778</v>
      </c>
    </row>
    <row r="105" spans="1:1" ht="15" customHeight="1" x14ac:dyDescent="0.3">
      <c r="A105" s="35">
        <v>45809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T1817"/>
  <sheetViews>
    <sheetView zoomScaleNormal="100" workbookViewId="0">
      <selection activeCell="F2" sqref="F2"/>
    </sheetView>
  </sheetViews>
  <sheetFormatPr defaultColWidth="10.59765625" defaultRowHeight="15.6" x14ac:dyDescent="0.3"/>
  <cols>
    <col min="1" max="1" width="10.3984375" customWidth="1"/>
    <col min="2" max="3" width="9" customWidth="1"/>
    <col min="4" max="4" width="10.3984375" customWidth="1"/>
    <col min="5" max="6" width="9" customWidth="1"/>
    <col min="7" max="7" width="10.3984375" customWidth="1"/>
    <col min="8" max="8" width="9" customWidth="1"/>
    <col min="13" max="13" width="10.59765625" style="2"/>
  </cols>
  <sheetData>
    <row r="1" spans="1:98" ht="15" customHeight="1" x14ac:dyDescent="0.3">
      <c r="A1" t="s">
        <v>353</v>
      </c>
    </row>
    <row r="2" spans="1:98" ht="15" customHeight="1" x14ac:dyDescent="0.3">
      <c r="A2" t="s">
        <v>354</v>
      </c>
      <c r="B2" t="s">
        <v>355</v>
      </c>
      <c r="D2" s="35" t="s">
        <v>356</v>
      </c>
      <c r="E2" s="35" t="s">
        <v>355</v>
      </c>
      <c r="I2" s="35">
        <v>43831</v>
      </c>
      <c r="J2" s="35">
        <v>43862</v>
      </c>
      <c r="K2" s="35">
        <v>43891</v>
      </c>
      <c r="L2" s="35">
        <v>43922</v>
      </c>
      <c r="M2" s="35">
        <v>43952</v>
      </c>
      <c r="N2" s="35">
        <v>43983</v>
      </c>
      <c r="O2" s="35">
        <v>44013</v>
      </c>
      <c r="P2" s="35">
        <v>44044</v>
      </c>
      <c r="Q2" s="35">
        <v>44075</v>
      </c>
      <c r="R2" s="35">
        <v>44105</v>
      </c>
      <c r="S2" s="35">
        <v>44136</v>
      </c>
      <c r="T2" s="35">
        <v>44166</v>
      </c>
      <c r="U2" s="35">
        <v>44197</v>
      </c>
      <c r="V2" s="35">
        <v>44228</v>
      </c>
      <c r="W2" s="35">
        <v>44256</v>
      </c>
      <c r="X2" s="35">
        <v>44287</v>
      </c>
      <c r="Y2" s="35">
        <v>44317</v>
      </c>
      <c r="Z2" s="35">
        <v>44348</v>
      </c>
      <c r="AA2" s="35">
        <v>44378</v>
      </c>
      <c r="AB2" s="35">
        <v>44409</v>
      </c>
      <c r="AC2" s="35">
        <v>44440</v>
      </c>
      <c r="AD2" s="35">
        <v>44470</v>
      </c>
      <c r="AE2" s="35">
        <v>44501</v>
      </c>
      <c r="AF2" s="35">
        <v>44531</v>
      </c>
      <c r="AG2" s="35">
        <v>44562</v>
      </c>
      <c r="AH2" s="35">
        <v>44593</v>
      </c>
      <c r="AI2" s="35">
        <v>44621</v>
      </c>
      <c r="AJ2" s="35">
        <v>44652</v>
      </c>
      <c r="AK2" s="35">
        <v>44682</v>
      </c>
      <c r="AL2" s="35">
        <v>44713</v>
      </c>
      <c r="AM2" s="35">
        <v>44743</v>
      </c>
      <c r="AN2" s="35">
        <v>44774</v>
      </c>
      <c r="AO2" s="35">
        <v>44805</v>
      </c>
      <c r="AP2" s="35">
        <v>44835</v>
      </c>
      <c r="AQ2" s="35">
        <v>44866</v>
      </c>
      <c r="AR2" s="35">
        <v>44896</v>
      </c>
      <c r="AS2" s="35">
        <v>44927</v>
      </c>
      <c r="AT2" s="35">
        <v>44958</v>
      </c>
      <c r="AU2" s="35">
        <v>44986</v>
      </c>
      <c r="AV2" s="35">
        <v>45017</v>
      </c>
      <c r="AW2" s="35">
        <v>45047</v>
      </c>
      <c r="AX2" s="35">
        <v>45078</v>
      </c>
      <c r="AY2" s="35">
        <v>45108</v>
      </c>
      <c r="AZ2" s="35">
        <v>45139</v>
      </c>
      <c r="BA2" s="35">
        <v>45170</v>
      </c>
      <c r="BB2" s="35">
        <v>45200</v>
      </c>
      <c r="BC2" s="35">
        <v>45231</v>
      </c>
      <c r="BD2" s="35">
        <v>45261</v>
      </c>
      <c r="BE2" s="35">
        <v>45292</v>
      </c>
      <c r="BF2" s="35">
        <v>45323</v>
      </c>
      <c r="BG2" s="35">
        <v>45352</v>
      </c>
      <c r="BH2" s="35">
        <v>45383</v>
      </c>
      <c r="BI2" s="35">
        <v>45413</v>
      </c>
      <c r="BJ2" s="35">
        <v>45444</v>
      </c>
      <c r="BK2" s="35">
        <v>45474</v>
      </c>
      <c r="BL2" s="35">
        <v>45505</v>
      </c>
      <c r="BM2" s="35">
        <v>45536</v>
      </c>
      <c r="BN2" s="35">
        <v>45566</v>
      </c>
      <c r="BO2" s="35">
        <v>45597</v>
      </c>
      <c r="BP2" s="35">
        <v>45627</v>
      </c>
      <c r="BQ2" s="35">
        <v>45658</v>
      </c>
      <c r="BR2" s="35">
        <v>45689</v>
      </c>
      <c r="BS2" s="35">
        <v>45717</v>
      </c>
      <c r="BT2" s="35">
        <v>45748</v>
      </c>
      <c r="BU2" s="35">
        <v>45778</v>
      </c>
      <c r="BV2" s="35">
        <v>45809</v>
      </c>
      <c r="BW2" s="35">
        <v>45839</v>
      </c>
      <c r="BX2" s="35">
        <v>45870</v>
      </c>
      <c r="BY2" s="35">
        <v>45901</v>
      </c>
      <c r="BZ2" s="35">
        <v>45931</v>
      </c>
      <c r="CA2" s="35">
        <v>45962</v>
      </c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</row>
    <row r="3" spans="1:98" ht="29.25" customHeight="1" x14ac:dyDescent="0.3">
      <c r="A3" s="36">
        <v>42739</v>
      </c>
      <c r="B3" s="37">
        <v>18604</v>
      </c>
      <c r="D3" s="34">
        <v>44123</v>
      </c>
      <c r="E3">
        <f t="shared" ref="E3:E66" si="0">LOOKUP(D3,A:A,B:B)</f>
        <v>24652</v>
      </c>
      <c r="G3" s="34"/>
      <c r="H3" s="34" t="b">
        <f t="shared" ref="H3:H66" si="1">G3=D3</f>
        <v>0</v>
      </c>
      <c r="I3">
        <f t="shared" ref="I3:AN3" si="2">_xlfn.MAXIFS($B:$B,$A:$A,"&gt;="&amp;I2,$A:$A,"&lt;="&amp;EOMONTH(I2,0))</f>
        <v>23555</v>
      </c>
      <c r="J3">
        <f t="shared" si="2"/>
        <v>24971</v>
      </c>
      <c r="K3">
        <f t="shared" si="2"/>
        <v>26118</v>
      </c>
      <c r="L3">
        <f t="shared" si="2"/>
        <v>24541</v>
      </c>
      <c r="M3" s="2">
        <f t="shared" si="2"/>
        <v>26172</v>
      </c>
      <c r="N3">
        <f t="shared" si="2"/>
        <v>26630</v>
      </c>
      <c r="O3">
        <f t="shared" si="2"/>
        <v>26666</v>
      </c>
      <c r="P3">
        <f t="shared" si="2"/>
        <v>25485</v>
      </c>
      <c r="Q3">
        <f t="shared" si="2"/>
        <v>24047</v>
      </c>
      <c r="R3">
        <f t="shared" si="2"/>
        <v>24652</v>
      </c>
      <c r="S3">
        <f t="shared" si="2"/>
        <v>24038</v>
      </c>
      <c r="T3">
        <f t="shared" si="2"/>
        <v>25751</v>
      </c>
      <c r="U3">
        <f t="shared" si="2"/>
        <v>22516</v>
      </c>
      <c r="V3">
        <f t="shared" si="2"/>
        <v>21377</v>
      </c>
      <c r="W3">
        <f t="shared" si="2"/>
        <v>23167</v>
      </c>
      <c r="X3">
        <f t="shared" si="2"/>
        <v>24813</v>
      </c>
      <c r="Y3">
        <f t="shared" si="2"/>
        <v>27228</v>
      </c>
      <c r="Z3">
        <f t="shared" si="2"/>
        <v>26900</v>
      </c>
      <c r="AA3">
        <f t="shared" si="2"/>
        <v>24434</v>
      </c>
      <c r="AB3">
        <f t="shared" si="2"/>
        <v>22566</v>
      </c>
      <c r="AC3">
        <f t="shared" si="2"/>
        <v>24148</v>
      </c>
      <c r="AD3">
        <f t="shared" si="2"/>
        <v>21800</v>
      </c>
      <c r="AE3">
        <f t="shared" si="2"/>
        <v>22903</v>
      </c>
      <c r="AF3">
        <f t="shared" si="2"/>
        <v>20935</v>
      </c>
      <c r="AG3">
        <f t="shared" si="2"/>
        <v>23782</v>
      </c>
      <c r="AH3">
        <f t="shared" si="2"/>
        <v>24128</v>
      </c>
      <c r="AI3">
        <f t="shared" si="2"/>
        <v>23355</v>
      </c>
      <c r="AJ3">
        <f t="shared" si="2"/>
        <v>23103</v>
      </c>
      <c r="AK3">
        <f t="shared" si="2"/>
        <v>21106</v>
      </c>
      <c r="AL3">
        <f t="shared" si="2"/>
        <v>21422</v>
      </c>
      <c r="AM3">
        <f t="shared" si="2"/>
        <v>21408</v>
      </c>
      <c r="AN3">
        <f t="shared" si="2"/>
        <v>22667</v>
      </c>
      <c r="AO3">
        <f t="shared" ref="AO3:BT3" si="3">_xlfn.MAXIFS($B:$B,$A:$A,"&gt;="&amp;AO2,$A:$A,"&lt;="&amp;EOMONTH(AO2,0))</f>
        <v>23400</v>
      </c>
      <c r="AP3">
        <f t="shared" si="3"/>
        <v>22899</v>
      </c>
      <c r="AQ3">
        <f t="shared" si="3"/>
        <v>21471</v>
      </c>
      <c r="AR3">
        <f t="shared" si="3"/>
        <v>21403</v>
      </c>
      <c r="AS3">
        <f t="shared" si="3"/>
        <v>21333</v>
      </c>
      <c r="AT3">
        <f t="shared" si="3"/>
        <v>22641</v>
      </c>
      <c r="AU3">
        <f t="shared" si="3"/>
        <v>23048</v>
      </c>
      <c r="AV3">
        <f t="shared" si="3"/>
        <v>23740</v>
      </c>
      <c r="AW3">
        <f t="shared" si="3"/>
        <v>20619</v>
      </c>
      <c r="AX3">
        <f t="shared" si="3"/>
        <v>21250</v>
      </c>
      <c r="AY3">
        <f t="shared" si="3"/>
        <v>20923</v>
      </c>
      <c r="AZ3">
        <f t="shared" si="3"/>
        <v>22921</v>
      </c>
      <c r="BA3">
        <f t="shared" si="3"/>
        <v>21855</v>
      </c>
      <c r="BB3">
        <f t="shared" si="3"/>
        <v>19535</v>
      </c>
      <c r="BC3">
        <f t="shared" si="3"/>
        <v>20122</v>
      </c>
      <c r="BD3">
        <f t="shared" si="3"/>
        <v>21567</v>
      </c>
      <c r="BE3">
        <f t="shared" si="3"/>
        <v>23439</v>
      </c>
      <c r="BF3">
        <f t="shared" si="3"/>
        <v>23359</v>
      </c>
      <c r="BG3">
        <f t="shared" si="3"/>
        <v>22009</v>
      </c>
      <c r="BH3">
        <f t="shared" si="3"/>
        <v>22186</v>
      </c>
      <c r="BI3">
        <f t="shared" si="3"/>
        <v>20753</v>
      </c>
      <c r="BJ3">
        <f t="shared" si="3"/>
        <v>22807</v>
      </c>
      <c r="BK3">
        <f t="shared" si="3"/>
        <v>20132</v>
      </c>
      <c r="BL3">
        <f t="shared" si="3"/>
        <v>19727</v>
      </c>
      <c r="BM3">
        <f t="shared" si="3"/>
        <v>18759</v>
      </c>
      <c r="BN3">
        <f t="shared" si="3"/>
        <v>20145</v>
      </c>
      <c r="BO3">
        <f t="shared" si="3"/>
        <v>19232</v>
      </c>
      <c r="BP3">
        <f t="shared" si="3"/>
        <v>28967</v>
      </c>
      <c r="BQ3">
        <f t="shared" si="3"/>
        <v>21107</v>
      </c>
      <c r="BR3">
        <f t="shared" si="3"/>
        <v>20080</v>
      </c>
      <c r="BS3">
        <f t="shared" si="3"/>
        <v>21708</v>
      </c>
      <c r="BT3">
        <f t="shared" si="3"/>
        <v>24126</v>
      </c>
      <c r="BU3">
        <f t="shared" ref="BU3:CA3" si="4">_xlfn.MAXIFS($B:$B,$A:$A,"&gt;="&amp;BU2,$A:$A,"&lt;="&amp;EOMONTH(BU2,0))</f>
        <v>22338</v>
      </c>
      <c r="BV3">
        <f t="shared" si="4"/>
        <v>23714</v>
      </c>
      <c r="BW3">
        <f t="shared" si="4"/>
        <v>24708</v>
      </c>
      <c r="BX3">
        <f t="shared" si="4"/>
        <v>26319</v>
      </c>
      <c r="BY3">
        <f t="shared" si="4"/>
        <v>27399</v>
      </c>
      <c r="BZ3">
        <f t="shared" si="4"/>
        <v>25063</v>
      </c>
      <c r="CA3">
        <f t="shared" si="4"/>
        <v>25952</v>
      </c>
    </row>
    <row r="4" spans="1:98" ht="29.25" customHeight="1" x14ac:dyDescent="0.3">
      <c r="A4" s="38">
        <v>42746</v>
      </c>
      <c r="B4" s="37">
        <v>21978</v>
      </c>
      <c r="D4" s="34">
        <v>44124</v>
      </c>
      <c r="E4">
        <f t="shared" si="0"/>
        <v>24652</v>
      </c>
      <c r="G4" s="34"/>
      <c r="H4" s="34" t="b">
        <f t="shared" si="1"/>
        <v>0</v>
      </c>
      <c r="L4" s="2"/>
    </row>
    <row r="5" spans="1:98" ht="29.25" customHeight="1" x14ac:dyDescent="0.3">
      <c r="A5" s="38">
        <v>42753</v>
      </c>
      <c r="B5" s="37">
        <v>22007</v>
      </c>
      <c r="D5" s="34">
        <v>44125</v>
      </c>
      <c r="E5">
        <f t="shared" si="0"/>
        <v>24317</v>
      </c>
      <c r="G5" s="34">
        <v>44125</v>
      </c>
      <c r="H5" s="34" t="b">
        <f t="shared" si="1"/>
        <v>1</v>
      </c>
      <c r="L5" s="2"/>
    </row>
    <row r="6" spans="1:98" ht="29.25" customHeight="1" x14ac:dyDescent="0.3">
      <c r="A6" s="38">
        <v>42760</v>
      </c>
      <c r="B6" s="37">
        <v>21827</v>
      </c>
      <c r="D6" s="34">
        <v>44126</v>
      </c>
      <c r="E6">
        <f t="shared" si="0"/>
        <v>24317</v>
      </c>
      <c r="G6" s="34">
        <v>44126</v>
      </c>
      <c r="H6" s="34" t="b">
        <f t="shared" si="1"/>
        <v>1</v>
      </c>
      <c r="L6" s="2"/>
    </row>
    <row r="7" spans="1:98" ht="29.25" customHeight="1" x14ac:dyDescent="0.3">
      <c r="A7" s="38">
        <v>42767</v>
      </c>
      <c r="B7" s="37">
        <v>23821</v>
      </c>
      <c r="D7" s="34">
        <v>44127</v>
      </c>
      <c r="E7">
        <f t="shared" si="0"/>
        <v>24317</v>
      </c>
      <c r="G7" s="34">
        <v>44127</v>
      </c>
      <c r="H7" s="34" t="b">
        <f t="shared" si="1"/>
        <v>1</v>
      </c>
      <c r="L7" s="2"/>
    </row>
    <row r="8" spans="1:98" ht="29.25" customHeight="1" x14ac:dyDescent="0.3">
      <c r="A8" s="38">
        <v>42774</v>
      </c>
      <c r="B8" s="37">
        <v>25766</v>
      </c>
      <c r="D8" s="34">
        <v>44130</v>
      </c>
      <c r="E8">
        <f t="shared" si="0"/>
        <v>24317</v>
      </c>
      <c r="G8" s="34">
        <v>44130</v>
      </c>
      <c r="H8" s="34" t="b">
        <f t="shared" si="1"/>
        <v>1</v>
      </c>
      <c r="L8" s="2"/>
    </row>
    <row r="9" spans="1:98" ht="29.25" customHeight="1" x14ac:dyDescent="0.3">
      <c r="A9" s="38">
        <v>42781</v>
      </c>
      <c r="B9" s="37">
        <v>24060</v>
      </c>
      <c r="D9" s="34">
        <v>44131</v>
      </c>
      <c r="E9">
        <f t="shared" si="0"/>
        <v>24317</v>
      </c>
      <c r="G9" s="34">
        <v>44131</v>
      </c>
      <c r="H9" s="34" t="b">
        <f t="shared" si="1"/>
        <v>1</v>
      </c>
      <c r="L9" s="2"/>
    </row>
    <row r="10" spans="1:98" ht="29.25" customHeight="1" x14ac:dyDescent="0.3">
      <c r="A10" s="38">
        <v>42788</v>
      </c>
      <c r="B10" s="37">
        <v>26647</v>
      </c>
      <c r="D10" s="34">
        <v>44132</v>
      </c>
      <c r="E10">
        <f t="shared" si="0"/>
        <v>23216</v>
      </c>
      <c r="G10" s="34">
        <v>44132</v>
      </c>
      <c r="H10" s="34" t="b">
        <f t="shared" si="1"/>
        <v>1</v>
      </c>
      <c r="L10" s="2"/>
    </row>
    <row r="11" spans="1:98" ht="29.25" customHeight="1" x14ac:dyDescent="0.3">
      <c r="A11" s="38">
        <v>42795</v>
      </c>
      <c r="B11" s="37">
        <v>26460</v>
      </c>
      <c r="D11" s="34">
        <v>44133</v>
      </c>
      <c r="E11">
        <f t="shared" si="0"/>
        <v>23216</v>
      </c>
      <c r="G11" s="34">
        <v>44133</v>
      </c>
      <c r="H11" s="34" t="b">
        <f t="shared" si="1"/>
        <v>1</v>
      </c>
      <c r="L11" s="2"/>
    </row>
    <row r="12" spans="1:98" ht="29.25" customHeight="1" x14ac:dyDescent="0.3">
      <c r="A12" s="38">
        <v>42802</v>
      </c>
      <c r="B12" s="37">
        <v>27734</v>
      </c>
      <c r="D12" s="34">
        <v>44134</v>
      </c>
      <c r="E12">
        <f t="shared" si="0"/>
        <v>23216</v>
      </c>
      <c r="G12" s="34">
        <v>44134</v>
      </c>
      <c r="H12" s="34" t="b">
        <f t="shared" si="1"/>
        <v>1</v>
      </c>
      <c r="L12" s="2"/>
    </row>
    <row r="13" spans="1:98" ht="29.25" customHeight="1" x14ac:dyDescent="0.3">
      <c r="A13" s="38">
        <v>42809</v>
      </c>
      <c r="B13" s="37">
        <v>26929</v>
      </c>
      <c r="D13" s="34">
        <v>44137</v>
      </c>
      <c r="E13">
        <f t="shared" si="0"/>
        <v>23216</v>
      </c>
      <c r="G13" s="34">
        <v>44137</v>
      </c>
      <c r="H13" s="34" t="b">
        <f t="shared" si="1"/>
        <v>1</v>
      </c>
      <c r="L13" s="2"/>
    </row>
    <row r="14" spans="1:98" ht="29.25" customHeight="1" x14ac:dyDescent="0.3">
      <c r="A14" s="38">
        <v>42816</v>
      </c>
      <c r="B14" s="37">
        <v>27072</v>
      </c>
      <c r="D14" s="34">
        <v>44138</v>
      </c>
      <c r="E14">
        <f t="shared" si="0"/>
        <v>23216</v>
      </c>
      <c r="G14" s="34">
        <v>44138</v>
      </c>
      <c r="H14" s="34" t="b">
        <f t="shared" si="1"/>
        <v>1</v>
      </c>
      <c r="L14" s="2"/>
    </row>
    <row r="15" spans="1:98" ht="29.25" customHeight="1" x14ac:dyDescent="0.3">
      <c r="A15" s="38">
        <v>42823</v>
      </c>
      <c r="B15" s="37">
        <v>25414</v>
      </c>
      <c r="D15" s="34">
        <v>44139</v>
      </c>
      <c r="E15">
        <f t="shared" si="0"/>
        <v>23228</v>
      </c>
      <c r="G15" s="34">
        <v>44139</v>
      </c>
      <c r="H15" s="34" t="b">
        <f t="shared" si="1"/>
        <v>1</v>
      </c>
      <c r="L15" s="2"/>
    </row>
    <row r="16" spans="1:98" ht="29.25" customHeight="1" x14ac:dyDescent="0.3">
      <c r="A16" s="38">
        <v>42830</v>
      </c>
      <c r="B16" s="37">
        <v>23565</v>
      </c>
      <c r="D16" s="34">
        <v>44140</v>
      </c>
      <c r="E16">
        <f t="shared" si="0"/>
        <v>23228</v>
      </c>
      <c r="G16" s="34">
        <v>44140</v>
      </c>
      <c r="H16" s="34" t="b">
        <f t="shared" si="1"/>
        <v>1</v>
      </c>
      <c r="L16" s="2"/>
    </row>
    <row r="17" spans="1:12" ht="29.25" customHeight="1" x14ac:dyDescent="0.3">
      <c r="A17" s="38">
        <v>42837</v>
      </c>
      <c r="B17" s="37">
        <v>24179</v>
      </c>
      <c r="D17" s="34">
        <v>44141</v>
      </c>
      <c r="E17">
        <f t="shared" si="0"/>
        <v>23228</v>
      </c>
      <c r="G17" s="34">
        <v>44141</v>
      </c>
      <c r="H17" s="34" t="b">
        <f t="shared" si="1"/>
        <v>1</v>
      </c>
      <c r="L17" s="2"/>
    </row>
    <row r="18" spans="1:12" ht="29.25" customHeight="1" x14ac:dyDescent="0.3">
      <c r="A18" s="38">
        <v>42844</v>
      </c>
      <c r="B18" s="37">
        <v>25752</v>
      </c>
      <c r="D18" s="34">
        <v>44144</v>
      </c>
      <c r="E18">
        <f t="shared" si="0"/>
        <v>23228</v>
      </c>
      <c r="G18" s="34">
        <v>44144</v>
      </c>
      <c r="H18" s="34" t="b">
        <f t="shared" si="1"/>
        <v>1</v>
      </c>
      <c r="L18" s="2"/>
    </row>
    <row r="19" spans="1:12" ht="29.25" customHeight="1" x14ac:dyDescent="0.3">
      <c r="A19" s="38">
        <v>42851</v>
      </c>
      <c r="B19" s="37">
        <v>23338</v>
      </c>
      <c r="D19" s="34">
        <v>44145</v>
      </c>
      <c r="E19">
        <f t="shared" si="0"/>
        <v>23228</v>
      </c>
      <c r="G19" s="34">
        <v>44145</v>
      </c>
      <c r="H19" s="34" t="b">
        <f t="shared" si="1"/>
        <v>1</v>
      </c>
      <c r="L19" s="2"/>
    </row>
    <row r="20" spans="1:12" ht="29.25" customHeight="1" x14ac:dyDescent="0.3">
      <c r="A20" s="38">
        <v>42858</v>
      </c>
      <c r="B20" s="37">
        <v>23544</v>
      </c>
      <c r="D20" s="34">
        <v>44146</v>
      </c>
      <c r="E20">
        <f t="shared" si="0"/>
        <v>23046</v>
      </c>
      <c r="G20" s="34">
        <v>44146</v>
      </c>
      <c r="H20" s="34" t="b">
        <f t="shared" si="1"/>
        <v>1</v>
      </c>
      <c r="L20" s="2"/>
    </row>
    <row r="21" spans="1:12" ht="29.25" customHeight="1" x14ac:dyDescent="0.3">
      <c r="A21" s="38">
        <v>42865</v>
      </c>
      <c r="B21" s="37">
        <v>19926</v>
      </c>
      <c r="D21" s="34">
        <v>44147</v>
      </c>
      <c r="E21">
        <f t="shared" si="0"/>
        <v>23046</v>
      </c>
      <c r="G21" s="34">
        <v>44147</v>
      </c>
      <c r="H21" s="34" t="b">
        <f t="shared" si="1"/>
        <v>1</v>
      </c>
      <c r="L21" s="2"/>
    </row>
    <row r="22" spans="1:12" ht="29.25" customHeight="1" x14ac:dyDescent="0.3">
      <c r="A22" s="38">
        <v>42872</v>
      </c>
      <c r="B22" s="37">
        <v>21545</v>
      </c>
      <c r="D22" s="34">
        <v>44148</v>
      </c>
      <c r="E22">
        <f t="shared" si="0"/>
        <v>23046</v>
      </c>
      <c r="G22" s="34">
        <v>44148</v>
      </c>
      <c r="H22" s="34" t="b">
        <f t="shared" si="1"/>
        <v>1</v>
      </c>
      <c r="L22" s="2"/>
    </row>
    <row r="23" spans="1:12" ht="29.25" customHeight="1" x14ac:dyDescent="0.3">
      <c r="A23" s="38">
        <v>42879</v>
      </c>
      <c r="B23" s="37">
        <v>19071</v>
      </c>
      <c r="D23" s="34">
        <v>44151</v>
      </c>
      <c r="E23">
        <f t="shared" si="0"/>
        <v>23046</v>
      </c>
      <c r="G23" s="34">
        <v>44151</v>
      </c>
      <c r="H23" s="34" t="b">
        <f t="shared" si="1"/>
        <v>1</v>
      </c>
      <c r="L23" s="2"/>
    </row>
    <row r="24" spans="1:12" ht="29.25" customHeight="1" x14ac:dyDescent="0.3">
      <c r="A24" s="38">
        <v>42886</v>
      </c>
      <c r="B24" s="37">
        <v>19043</v>
      </c>
      <c r="D24" s="34">
        <v>44152</v>
      </c>
      <c r="E24">
        <f t="shared" si="0"/>
        <v>23046</v>
      </c>
      <c r="G24" s="34">
        <v>44152</v>
      </c>
      <c r="H24" s="34" t="b">
        <f t="shared" si="1"/>
        <v>1</v>
      </c>
      <c r="L24" s="2"/>
    </row>
    <row r="25" spans="1:12" ht="29.25" customHeight="1" x14ac:dyDescent="0.3">
      <c r="A25" s="38">
        <v>42893</v>
      </c>
      <c r="B25" s="37">
        <v>17521</v>
      </c>
      <c r="D25" s="34">
        <v>44153</v>
      </c>
      <c r="E25">
        <f t="shared" si="0"/>
        <v>22002</v>
      </c>
      <c r="G25" s="34">
        <v>44153</v>
      </c>
      <c r="H25" s="34" t="b">
        <f t="shared" si="1"/>
        <v>1</v>
      </c>
      <c r="L25" s="2"/>
    </row>
    <row r="26" spans="1:12" ht="29.25" customHeight="1" x14ac:dyDescent="0.3">
      <c r="A26" s="38">
        <v>42900</v>
      </c>
      <c r="B26" s="37">
        <v>22195</v>
      </c>
      <c r="D26" s="34">
        <v>44154</v>
      </c>
      <c r="E26">
        <f t="shared" si="0"/>
        <v>22002</v>
      </c>
      <c r="G26" s="34">
        <v>44154</v>
      </c>
      <c r="H26" s="34" t="b">
        <f t="shared" si="1"/>
        <v>1</v>
      </c>
      <c r="L26" s="2"/>
    </row>
    <row r="27" spans="1:12" ht="29.25" customHeight="1" x14ac:dyDescent="0.3">
      <c r="A27" s="38">
        <v>42907</v>
      </c>
      <c r="B27" s="37">
        <v>23322</v>
      </c>
      <c r="D27" s="34">
        <v>44155</v>
      </c>
      <c r="E27">
        <f t="shared" si="0"/>
        <v>22002</v>
      </c>
      <c r="G27" s="34">
        <v>44155</v>
      </c>
      <c r="H27" s="34" t="b">
        <f t="shared" si="1"/>
        <v>1</v>
      </c>
      <c r="L27" s="2"/>
    </row>
    <row r="28" spans="1:12" ht="29.25" customHeight="1" x14ac:dyDescent="0.3">
      <c r="A28" s="38">
        <v>42914</v>
      </c>
      <c r="B28" s="37">
        <v>22223</v>
      </c>
      <c r="D28" s="34">
        <v>44158</v>
      </c>
      <c r="E28">
        <f t="shared" si="0"/>
        <v>22002</v>
      </c>
      <c r="G28" s="34">
        <v>44158</v>
      </c>
      <c r="H28" s="34" t="b">
        <f t="shared" si="1"/>
        <v>1</v>
      </c>
      <c r="L28" s="2"/>
    </row>
    <row r="29" spans="1:12" ht="29.25" customHeight="1" x14ac:dyDescent="0.3">
      <c r="A29" s="38">
        <v>42921</v>
      </c>
      <c r="B29" s="37">
        <v>21456</v>
      </c>
      <c r="D29" s="34">
        <v>44159</v>
      </c>
      <c r="E29">
        <f t="shared" si="0"/>
        <v>22002</v>
      </c>
      <c r="G29" s="34">
        <v>44159</v>
      </c>
      <c r="H29" s="34" t="b">
        <f t="shared" si="1"/>
        <v>1</v>
      </c>
      <c r="L29" s="2"/>
    </row>
    <row r="30" spans="1:12" ht="29.25" customHeight="1" x14ac:dyDescent="0.3">
      <c r="A30" s="38">
        <v>42928</v>
      </c>
      <c r="B30" s="37">
        <v>21906</v>
      </c>
      <c r="D30" s="34">
        <v>44160</v>
      </c>
      <c r="E30">
        <f t="shared" si="0"/>
        <v>24038</v>
      </c>
      <c r="G30" s="34">
        <v>44160</v>
      </c>
      <c r="H30" s="34" t="b">
        <f t="shared" si="1"/>
        <v>1</v>
      </c>
      <c r="L30" s="2"/>
    </row>
    <row r="31" spans="1:12" ht="29.25" customHeight="1" x14ac:dyDescent="0.3">
      <c r="A31" s="38">
        <v>42935</v>
      </c>
      <c r="B31" s="37">
        <v>22764</v>
      </c>
      <c r="D31" s="34">
        <v>44161</v>
      </c>
      <c r="E31">
        <f t="shared" si="0"/>
        <v>24038</v>
      </c>
      <c r="G31" s="34">
        <v>44161</v>
      </c>
      <c r="H31" s="34" t="b">
        <f t="shared" si="1"/>
        <v>1</v>
      </c>
      <c r="L31" s="2"/>
    </row>
    <row r="32" spans="1:12" ht="29.25" customHeight="1" x14ac:dyDescent="0.3">
      <c r="A32" s="38">
        <v>42942</v>
      </c>
      <c r="B32" s="37">
        <v>24456</v>
      </c>
      <c r="D32" s="34">
        <v>44162</v>
      </c>
      <c r="E32">
        <f t="shared" si="0"/>
        <v>24038</v>
      </c>
      <c r="G32" s="34">
        <v>44162</v>
      </c>
      <c r="H32" s="34" t="b">
        <f t="shared" si="1"/>
        <v>1</v>
      </c>
      <c r="L32" s="2"/>
    </row>
    <row r="33" spans="1:12" ht="29.25" customHeight="1" x14ac:dyDescent="0.3">
      <c r="A33" s="38">
        <v>42949</v>
      </c>
      <c r="B33" s="37">
        <v>23131</v>
      </c>
      <c r="D33" s="34">
        <v>44165</v>
      </c>
      <c r="E33">
        <f t="shared" si="0"/>
        <v>24038</v>
      </c>
      <c r="G33" s="34">
        <v>44165</v>
      </c>
      <c r="H33" s="34" t="b">
        <f t="shared" si="1"/>
        <v>1</v>
      </c>
      <c r="L33" s="2"/>
    </row>
    <row r="34" spans="1:12" ht="29.25" customHeight="1" x14ac:dyDescent="0.3">
      <c r="A34" s="38">
        <v>42956</v>
      </c>
      <c r="B34" s="37">
        <v>23652</v>
      </c>
      <c r="D34" s="34">
        <v>44166</v>
      </c>
      <c r="E34">
        <f t="shared" si="0"/>
        <v>24038</v>
      </c>
      <c r="G34" s="34">
        <v>44166</v>
      </c>
      <c r="H34" s="34" t="b">
        <f t="shared" si="1"/>
        <v>1</v>
      </c>
      <c r="L34" s="2"/>
    </row>
    <row r="35" spans="1:12" ht="29.25" customHeight="1" x14ac:dyDescent="0.3">
      <c r="A35" s="38">
        <v>42963</v>
      </c>
      <c r="B35" s="37">
        <v>24334</v>
      </c>
      <c r="D35" s="34">
        <v>44167</v>
      </c>
      <c r="E35">
        <f t="shared" si="0"/>
        <v>25751</v>
      </c>
      <c r="G35" s="34">
        <v>44167</v>
      </c>
      <c r="H35" s="34" t="b">
        <f t="shared" si="1"/>
        <v>1</v>
      </c>
      <c r="L35" s="2"/>
    </row>
    <row r="36" spans="1:12" ht="29.25" customHeight="1" x14ac:dyDescent="0.3">
      <c r="A36" s="38">
        <v>42970</v>
      </c>
      <c r="B36" s="37">
        <v>24736</v>
      </c>
      <c r="D36" s="34">
        <v>44168</v>
      </c>
      <c r="E36">
        <f t="shared" si="0"/>
        <v>25751</v>
      </c>
      <c r="G36" s="34">
        <v>44168</v>
      </c>
      <c r="H36" s="34" t="b">
        <f t="shared" si="1"/>
        <v>1</v>
      </c>
      <c r="L36" s="2"/>
    </row>
    <row r="37" spans="1:12" ht="29.25" customHeight="1" x14ac:dyDescent="0.3">
      <c r="A37" s="38">
        <v>42977</v>
      </c>
      <c r="B37" s="37">
        <v>26349</v>
      </c>
      <c r="D37" s="34">
        <v>44169</v>
      </c>
      <c r="E37">
        <f t="shared" si="0"/>
        <v>25751</v>
      </c>
      <c r="G37" s="34">
        <v>44169</v>
      </c>
      <c r="H37" s="34" t="b">
        <f t="shared" si="1"/>
        <v>1</v>
      </c>
      <c r="L37" s="2"/>
    </row>
    <row r="38" spans="1:12" ht="29.25" customHeight="1" x14ac:dyDescent="0.3">
      <c r="A38" s="38">
        <v>42984</v>
      </c>
      <c r="B38" s="37">
        <v>26489</v>
      </c>
      <c r="D38" s="34">
        <v>44172</v>
      </c>
      <c r="E38">
        <f t="shared" si="0"/>
        <v>25751</v>
      </c>
      <c r="G38" s="34">
        <v>44172</v>
      </c>
      <c r="H38" s="34" t="b">
        <f t="shared" si="1"/>
        <v>1</v>
      </c>
      <c r="L38" s="2"/>
    </row>
    <row r="39" spans="1:12" ht="29.25" customHeight="1" x14ac:dyDescent="0.3">
      <c r="A39" s="38">
        <v>42991</v>
      </c>
      <c r="B39" s="37">
        <v>23482</v>
      </c>
      <c r="D39" s="34">
        <v>44173</v>
      </c>
      <c r="E39">
        <f t="shared" si="0"/>
        <v>25751</v>
      </c>
      <c r="G39" s="34">
        <v>44173</v>
      </c>
      <c r="H39" s="34" t="b">
        <f t="shared" si="1"/>
        <v>1</v>
      </c>
      <c r="L39" s="2"/>
    </row>
    <row r="40" spans="1:12" ht="29.25" customHeight="1" x14ac:dyDescent="0.3">
      <c r="A40" s="38">
        <v>42998</v>
      </c>
      <c r="B40" s="37">
        <v>24617</v>
      </c>
      <c r="D40" s="34">
        <v>44174</v>
      </c>
      <c r="E40">
        <f t="shared" si="0"/>
        <v>22361</v>
      </c>
      <c r="G40" s="34">
        <v>44174</v>
      </c>
      <c r="H40" s="34" t="b">
        <f t="shared" si="1"/>
        <v>1</v>
      </c>
      <c r="L40" s="2"/>
    </row>
    <row r="41" spans="1:12" ht="29.25" customHeight="1" x14ac:dyDescent="0.3">
      <c r="A41" s="38">
        <v>43005</v>
      </c>
      <c r="B41" s="37">
        <v>23270</v>
      </c>
      <c r="D41" s="34">
        <v>44175</v>
      </c>
      <c r="E41">
        <f t="shared" si="0"/>
        <v>22361</v>
      </c>
      <c r="G41" s="34">
        <v>44175</v>
      </c>
      <c r="H41" s="34" t="b">
        <f t="shared" si="1"/>
        <v>1</v>
      </c>
      <c r="L41" s="2"/>
    </row>
    <row r="42" spans="1:12" ht="29.25" customHeight="1" x14ac:dyDescent="0.3">
      <c r="A42" s="38">
        <v>43012</v>
      </c>
      <c r="B42" s="37">
        <v>22550</v>
      </c>
      <c r="D42" s="34">
        <v>44176</v>
      </c>
      <c r="E42">
        <f t="shared" si="0"/>
        <v>22361</v>
      </c>
      <c r="G42" s="34">
        <v>44176</v>
      </c>
      <c r="H42" s="34" t="b">
        <f t="shared" si="1"/>
        <v>1</v>
      </c>
      <c r="L42" s="2"/>
    </row>
    <row r="43" spans="1:12" ht="29.25" customHeight="1" x14ac:dyDescent="0.3">
      <c r="A43" s="38">
        <v>43019</v>
      </c>
      <c r="B43" s="37">
        <v>23748</v>
      </c>
      <c r="D43" s="34">
        <v>44179</v>
      </c>
      <c r="E43">
        <f t="shared" si="0"/>
        <v>22361</v>
      </c>
      <c r="G43" s="34">
        <v>44179</v>
      </c>
      <c r="H43" s="34" t="b">
        <f t="shared" si="1"/>
        <v>1</v>
      </c>
      <c r="L43" s="2"/>
    </row>
    <row r="44" spans="1:12" ht="29.25" customHeight="1" x14ac:dyDescent="0.3">
      <c r="A44" s="38">
        <v>43026</v>
      </c>
      <c r="B44" s="37">
        <v>24350</v>
      </c>
      <c r="D44" s="34">
        <v>44180</v>
      </c>
      <c r="E44">
        <f t="shared" si="0"/>
        <v>22361</v>
      </c>
      <c r="G44" s="34">
        <v>44180</v>
      </c>
      <c r="H44" s="34" t="b">
        <f t="shared" si="1"/>
        <v>1</v>
      </c>
      <c r="L44" s="2"/>
    </row>
    <row r="45" spans="1:12" ht="29.25" customHeight="1" x14ac:dyDescent="0.3">
      <c r="A45" s="38">
        <v>43033</v>
      </c>
      <c r="B45" s="37">
        <v>25117</v>
      </c>
      <c r="D45" s="34">
        <v>44181</v>
      </c>
      <c r="E45">
        <f t="shared" si="0"/>
        <v>22829</v>
      </c>
      <c r="G45" s="34">
        <v>44181</v>
      </c>
      <c r="H45" s="34" t="b">
        <f t="shared" si="1"/>
        <v>1</v>
      </c>
      <c r="L45" s="2"/>
    </row>
    <row r="46" spans="1:12" ht="29.25" customHeight="1" x14ac:dyDescent="0.3">
      <c r="A46" s="38">
        <v>43040</v>
      </c>
      <c r="B46" s="37">
        <v>25744</v>
      </c>
      <c r="D46" s="34">
        <v>44182</v>
      </c>
      <c r="E46">
        <f t="shared" si="0"/>
        <v>22829</v>
      </c>
      <c r="G46" s="34">
        <v>44182</v>
      </c>
      <c r="H46" s="34" t="b">
        <f t="shared" si="1"/>
        <v>1</v>
      </c>
      <c r="L46" s="2"/>
    </row>
    <row r="47" spans="1:12" ht="29.25" customHeight="1" x14ac:dyDescent="0.3">
      <c r="A47" s="38">
        <v>43047</v>
      </c>
      <c r="B47" s="37">
        <v>23671</v>
      </c>
      <c r="D47" s="34">
        <v>44183</v>
      </c>
      <c r="E47">
        <f t="shared" si="0"/>
        <v>22829</v>
      </c>
      <c r="G47" s="34">
        <v>44183</v>
      </c>
      <c r="H47" s="34" t="b">
        <f t="shared" si="1"/>
        <v>1</v>
      </c>
      <c r="L47" s="2"/>
    </row>
    <row r="48" spans="1:12" ht="29.25" customHeight="1" x14ac:dyDescent="0.3">
      <c r="A48" s="38">
        <v>43054</v>
      </c>
      <c r="B48" s="37">
        <v>23606</v>
      </c>
      <c r="D48" s="34">
        <v>44186</v>
      </c>
      <c r="E48">
        <f t="shared" si="0"/>
        <v>22829</v>
      </c>
      <c r="G48" s="34">
        <v>44186</v>
      </c>
      <c r="H48" s="34" t="b">
        <f t="shared" si="1"/>
        <v>1</v>
      </c>
      <c r="L48" s="2"/>
    </row>
    <row r="49" spans="1:12" ht="29.25" customHeight="1" x14ac:dyDescent="0.3">
      <c r="A49" s="38">
        <v>43061</v>
      </c>
      <c r="B49" s="37">
        <v>23484</v>
      </c>
      <c r="D49" s="34">
        <v>44187</v>
      </c>
      <c r="E49">
        <f t="shared" si="0"/>
        <v>22829</v>
      </c>
      <c r="G49" s="34">
        <v>44187</v>
      </c>
      <c r="H49" s="34" t="b">
        <f t="shared" si="1"/>
        <v>1</v>
      </c>
      <c r="L49" s="2"/>
    </row>
    <row r="50" spans="1:12" ht="29.25" customHeight="1" x14ac:dyDescent="0.3">
      <c r="A50" s="38">
        <v>43068</v>
      </c>
      <c r="B50" s="37">
        <v>23034</v>
      </c>
      <c r="D50" s="34">
        <v>44188</v>
      </c>
      <c r="E50">
        <f t="shared" si="0"/>
        <v>20394</v>
      </c>
      <c r="G50" s="34">
        <v>44188</v>
      </c>
      <c r="H50" s="34" t="b">
        <f t="shared" si="1"/>
        <v>1</v>
      </c>
      <c r="L50" s="2"/>
    </row>
    <row r="51" spans="1:12" ht="29.25" customHeight="1" x14ac:dyDescent="0.3">
      <c r="A51" s="38">
        <v>43075</v>
      </c>
      <c r="B51" s="37">
        <v>24197</v>
      </c>
      <c r="D51" s="34">
        <v>44189</v>
      </c>
      <c r="E51">
        <f t="shared" si="0"/>
        <v>20394</v>
      </c>
      <c r="G51" s="34">
        <v>44189</v>
      </c>
      <c r="H51" s="34" t="b">
        <f t="shared" si="1"/>
        <v>1</v>
      </c>
      <c r="L51" s="2"/>
    </row>
    <row r="52" spans="1:12" ht="29.25" customHeight="1" x14ac:dyDescent="0.3">
      <c r="A52" s="38">
        <v>43082</v>
      </c>
      <c r="B52" s="37">
        <v>23214</v>
      </c>
      <c r="D52" s="34">
        <v>44193</v>
      </c>
      <c r="E52">
        <f t="shared" si="0"/>
        <v>20394</v>
      </c>
      <c r="G52" s="34">
        <v>44193</v>
      </c>
      <c r="H52" s="34" t="b">
        <f t="shared" si="1"/>
        <v>1</v>
      </c>
      <c r="L52" s="2"/>
    </row>
    <row r="53" spans="1:12" ht="29.25" customHeight="1" x14ac:dyDescent="0.3">
      <c r="A53" s="38">
        <v>43089</v>
      </c>
      <c r="B53" s="37">
        <v>22631</v>
      </c>
      <c r="D53" s="34">
        <v>44194</v>
      </c>
      <c r="E53">
        <f t="shared" si="0"/>
        <v>20394</v>
      </c>
      <c r="G53" s="34">
        <v>44194</v>
      </c>
      <c r="H53" s="34" t="b">
        <f t="shared" si="1"/>
        <v>1</v>
      </c>
      <c r="L53" s="2"/>
    </row>
    <row r="54" spans="1:12" ht="29.25" customHeight="1" x14ac:dyDescent="0.3">
      <c r="A54" s="38">
        <v>43096</v>
      </c>
      <c r="B54" s="37">
        <v>25190</v>
      </c>
      <c r="D54" s="34">
        <v>44195</v>
      </c>
      <c r="E54">
        <f t="shared" si="0"/>
        <v>21956</v>
      </c>
      <c r="G54" s="34">
        <v>44195</v>
      </c>
      <c r="H54" s="34" t="b">
        <f t="shared" si="1"/>
        <v>1</v>
      </c>
      <c r="L54" s="2"/>
    </row>
    <row r="55" spans="1:12" ht="29.25" customHeight="1" x14ac:dyDescent="0.3">
      <c r="A55" s="38">
        <v>43103</v>
      </c>
      <c r="B55" s="37">
        <v>22728</v>
      </c>
      <c r="D55" s="34">
        <v>44196</v>
      </c>
      <c r="E55">
        <f t="shared" si="0"/>
        <v>21956</v>
      </c>
      <c r="G55" s="34">
        <v>44196</v>
      </c>
      <c r="H55" s="34" t="b">
        <f t="shared" si="1"/>
        <v>1</v>
      </c>
      <c r="L55" s="2"/>
    </row>
    <row r="56" spans="1:12" ht="29.25" customHeight="1" x14ac:dyDescent="0.3">
      <c r="A56" s="38">
        <v>43110</v>
      </c>
      <c r="B56" s="37">
        <v>19660</v>
      </c>
      <c r="D56" s="34">
        <v>44200</v>
      </c>
      <c r="E56">
        <f t="shared" si="0"/>
        <v>21956</v>
      </c>
      <c r="G56" s="34">
        <v>44200</v>
      </c>
      <c r="H56" s="34" t="b">
        <f t="shared" si="1"/>
        <v>1</v>
      </c>
      <c r="L56" s="2"/>
    </row>
    <row r="57" spans="1:12" ht="29.25" customHeight="1" x14ac:dyDescent="0.3">
      <c r="A57" s="38">
        <v>43117</v>
      </c>
      <c r="B57" s="37">
        <v>19999</v>
      </c>
      <c r="D57" s="34">
        <v>44201</v>
      </c>
      <c r="E57">
        <f t="shared" si="0"/>
        <v>21956</v>
      </c>
      <c r="G57" s="34">
        <v>44201</v>
      </c>
      <c r="H57" s="34" t="b">
        <f t="shared" si="1"/>
        <v>1</v>
      </c>
      <c r="L57" s="2"/>
    </row>
    <row r="58" spans="1:12" ht="29.25" customHeight="1" x14ac:dyDescent="0.3">
      <c r="A58" s="38">
        <v>43124</v>
      </c>
      <c r="B58" s="37">
        <v>22313</v>
      </c>
      <c r="D58" s="34">
        <v>44202</v>
      </c>
      <c r="E58">
        <f t="shared" si="0"/>
        <v>22516</v>
      </c>
      <c r="G58" s="34">
        <v>44202</v>
      </c>
      <c r="H58" s="34" t="b">
        <f t="shared" si="1"/>
        <v>1</v>
      </c>
      <c r="L58" s="2"/>
    </row>
    <row r="59" spans="1:12" ht="29.25" customHeight="1" x14ac:dyDescent="0.3">
      <c r="A59" s="38">
        <v>43131</v>
      </c>
      <c r="B59" s="37">
        <v>22516</v>
      </c>
      <c r="D59" s="34">
        <v>44203</v>
      </c>
      <c r="E59">
        <f t="shared" si="0"/>
        <v>22516</v>
      </c>
      <c r="G59" s="34">
        <v>44203</v>
      </c>
      <c r="H59" s="34" t="b">
        <f t="shared" si="1"/>
        <v>1</v>
      </c>
      <c r="L59" s="2"/>
    </row>
    <row r="60" spans="1:12" ht="29.25" customHeight="1" x14ac:dyDescent="0.3">
      <c r="A60" s="38">
        <v>43138</v>
      </c>
      <c r="B60" s="37">
        <v>23782</v>
      </c>
      <c r="D60" s="34">
        <v>44204</v>
      </c>
      <c r="E60">
        <f t="shared" si="0"/>
        <v>22516</v>
      </c>
      <c r="G60" s="34">
        <v>44204</v>
      </c>
      <c r="H60" s="34" t="b">
        <f t="shared" si="1"/>
        <v>1</v>
      </c>
      <c r="L60" s="2"/>
    </row>
    <row r="61" spans="1:12" ht="29.25" customHeight="1" x14ac:dyDescent="0.3">
      <c r="A61" s="38">
        <v>43145</v>
      </c>
      <c r="B61" s="37">
        <v>22828</v>
      </c>
      <c r="D61" s="34">
        <v>44207</v>
      </c>
      <c r="E61">
        <f t="shared" si="0"/>
        <v>22516</v>
      </c>
      <c r="G61" s="34">
        <v>44207</v>
      </c>
      <c r="H61" s="34" t="b">
        <f t="shared" si="1"/>
        <v>1</v>
      </c>
      <c r="L61" s="2"/>
    </row>
    <row r="62" spans="1:12" ht="29.25" customHeight="1" x14ac:dyDescent="0.3">
      <c r="A62" s="38">
        <v>43152</v>
      </c>
      <c r="B62" s="37">
        <v>21431</v>
      </c>
      <c r="D62" s="34">
        <v>44208</v>
      </c>
      <c r="E62">
        <f t="shared" si="0"/>
        <v>22516</v>
      </c>
      <c r="G62" s="34">
        <v>44208</v>
      </c>
      <c r="H62" s="34" t="b">
        <f t="shared" si="1"/>
        <v>1</v>
      </c>
      <c r="L62" s="2"/>
    </row>
    <row r="63" spans="1:12" ht="29.25" customHeight="1" x14ac:dyDescent="0.3">
      <c r="A63" s="38">
        <v>43159</v>
      </c>
      <c r="B63" s="37">
        <v>22530</v>
      </c>
      <c r="D63" s="34">
        <v>44209</v>
      </c>
      <c r="E63">
        <f t="shared" si="0"/>
        <v>22304</v>
      </c>
      <c r="G63" s="34">
        <v>44209</v>
      </c>
      <c r="H63" s="34" t="b">
        <f t="shared" si="1"/>
        <v>1</v>
      </c>
      <c r="L63" s="2"/>
    </row>
    <row r="64" spans="1:12" ht="29.25" customHeight="1" x14ac:dyDescent="0.3">
      <c r="A64" s="38">
        <v>43166</v>
      </c>
      <c r="B64" s="37">
        <v>22031</v>
      </c>
      <c r="D64" s="34">
        <v>44210</v>
      </c>
      <c r="E64">
        <f t="shared" si="0"/>
        <v>22304</v>
      </c>
      <c r="G64" s="34">
        <v>44210</v>
      </c>
      <c r="H64" s="34" t="b">
        <f t="shared" si="1"/>
        <v>1</v>
      </c>
      <c r="L64" s="2"/>
    </row>
    <row r="65" spans="1:12" ht="29.25" customHeight="1" x14ac:dyDescent="0.3">
      <c r="A65" s="38">
        <v>43173</v>
      </c>
      <c r="B65" s="37">
        <v>23871</v>
      </c>
      <c r="D65" s="34">
        <v>44211</v>
      </c>
      <c r="E65">
        <f t="shared" si="0"/>
        <v>22304</v>
      </c>
      <c r="G65" s="34">
        <v>44211</v>
      </c>
      <c r="H65" s="34" t="b">
        <f t="shared" si="1"/>
        <v>1</v>
      </c>
      <c r="L65" s="2"/>
    </row>
    <row r="66" spans="1:12" ht="29.25" customHeight="1" x14ac:dyDescent="0.3">
      <c r="A66" s="38">
        <v>43180</v>
      </c>
      <c r="B66" s="37">
        <v>24220</v>
      </c>
      <c r="D66" s="34">
        <v>44214</v>
      </c>
      <c r="E66">
        <f t="shared" si="0"/>
        <v>22304</v>
      </c>
      <c r="G66" s="34">
        <v>44214</v>
      </c>
      <c r="H66" s="34" t="b">
        <f t="shared" si="1"/>
        <v>1</v>
      </c>
      <c r="L66" s="2"/>
    </row>
    <row r="67" spans="1:12" ht="29.25" customHeight="1" x14ac:dyDescent="0.3">
      <c r="A67" s="38">
        <v>43187</v>
      </c>
      <c r="B67" s="37">
        <v>21691</v>
      </c>
      <c r="D67" s="34">
        <v>44215</v>
      </c>
      <c r="E67">
        <f t="shared" ref="E67:E130" si="5">LOOKUP(D67,A:A,B:B)</f>
        <v>22304</v>
      </c>
      <c r="G67" s="34">
        <v>44215</v>
      </c>
      <c r="H67" s="34" t="b">
        <f t="shared" ref="H67:H130" si="6">G67=D67</f>
        <v>1</v>
      </c>
      <c r="L67" s="2"/>
    </row>
    <row r="68" spans="1:12" ht="29.25" customHeight="1" x14ac:dyDescent="0.3">
      <c r="A68" s="38">
        <v>43194</v>
      </c>
      <c r="B68" s="37">
        <v>19706</v>
      </c>
      <c r="D68" s="34">
        <v>44216</v>
      </c>
      <c r="E68">
        <f t="shared" si="5"/>
        <v>21999</v>
      </c>
      <c r="G68" s="34">
        <v>44216</v>
      </c>
      <c r="H68" s="34" t="b">
        <f t="shared" si="6"/>
        <v>1</v>
      </c>
      <c r="L68" s="2"/>
    </row>
    <row r="69" spans="1:12" ht="29.25" customHeight="1" x14ac:dyDescent="0.3">
      <c r="A69" s="38">
        <v>43201</v>
      </c>
      <c r="B69" s="37">
        <v>19692</v>
      </c>
      <c r="D69" s="34">
        <v>44217</v>
      </c>
      <c r="E69">
        <f t="shared" si="5"/>
        <v>21999</v>
      </c>
      <c r="G69" s="34">
        <v>44217</v>
      </c>
      <c r="H69" s="34" t="b">
        <f t="shared" si="6"/>
        <v>1</v>
      </c>
      <c r="L69" s="2"/>
    </row>
    <row r="70" spans="1:12" ht="29.25" customHeight="1" x14ac:dyDescent="0.3">
      <c r="A70" s="38">
        <v>43208</v>
      </c>
      <c r="B70" s="37">
        <v>17941</v>
      </c>
      <c r="D70" s="34">
        <v>44218</v>
      </c>
      <c r="E70">
        <f t="shared" si="5"/>
        <v>21999</v>
      </c>
      <c r="G70" s="34">
        <v>44218</v>
      </c>
      <c r="H70" s="34" t="b">
        <f t="shared" si="6"/>
        <v>1</v>
      </c>
      <c r="L70" s="2"/>
    </row>
    <row r="71" spans="1:12" ht="29.25" customHeight="1" x14ac:dyDescent="0.3">
      <c r="A71" s="38">
        <v>43215</v>
      </c>
      <c r="B71" s="37">
        <v>17395</v>
      </c>
      <c r="D71" s="34">
        <v>44221</v>
      </c>
      <c r="E71">
        <f t="shared" si="5"/>
        <v>21999</v>
      </c>
      <c r="G71" s="34">
        <v>44221</v>
      </c>
      <c r="H71" s="34" t="b">
        <f t="shared" si="6"/>
        <v>1</v>
      </c>
      <c r="L71" s="2"/>
    </row>
    <row r="72" spans="1:12" ht="29.25" customHeight="1" x14ac:dyDescent="0.3">
      <c r="A72" s="38">
        <v>43222</v>
      </c>
      <c r="B72" s="37">
        <v>17729</v>
      </c>
      <c r="D72" s="34">
        <v>44222</v>
      </c>
      <c r="E72">
        <f t="shared" si="5"/>
        <v>21999</v>
      </c>
      <c r="G72" s="34">
        <v>44222</v>
      </c>
      <c r="H72" s="34" t="b">
        <f t="shared" si="6"/>
        <v>1</v>
      </c>
      <c r="L72" s="2"/>
    </row>
    <row r="73" spans="1:12" ht="29.25" customHeight="1" x14ac:dyDescent="0.3">
      <c r="A73" s="38">
        <v>43229</v>
      </c>
      <c r="B73" s="37">
        <v>19125</v>
      </c>
      <c r="D73" s="34">
        <v>44223</v>
      </c>
      <c r="E73">
        <f t="shared" si="5"/>
        <v>20791</v>
      </c>
      <c r="G73" s="34">
        <v>44223</v>
      </c>
      <c r="H73" s="34" t="b">
        <f t="shared" si="6"/>
        <v>1</v>
      </c>
      <c r="L73" s="2"/>
    </row>
    <row r="74" spans="1:12" ht="29.25" customHeight="1" x14ac:dyDescent="0.3">
      <c r="A74" s="38">
        <v>43236</v>
      </c>
      <c r="B74" s="37">
        <v>18673</v>
      </c>
      <c r="D74" s="34">
        <v>44224</v>
      </c>
      <c r="E74">
        <f t="shared" si="5"/>
        <v>20791</v>
      </c>
      <c r="G74" s="34">
        <v>44224</v>
      </c>
      <c r="H74" s="34" t="b">
        <f t="shared" si="6"/>
        <v>1</v>
      </c>
      <c r="L74" s="2"/>
    </row>
    <row r="75" spans="1:12" ht="29.25" customHeight="1" x14ac:dyDescent="0.3">
      <c r="A75" s="38">
        <v>43243</v>
      </c>
      <c r="B75" s="37">
        <v>18341</v>
      </c>
      <c r="D75" s="34">
        <v>44225</v>
      </c>
      <c r="E75">
        <f t="shared" si="5"/>
        <v>20791</v>
      </c>
      <c r="G75" s="34">
        <v>44225</v>
      </c>
      <c r="H75" s="34" t="b">
        <f t="shared" si="6"/>
        <v>1</v>
      </c>
      <c r="L75" s="2"/>
    </row>
    <row r="76" spans="1:12" ht="29.25" customHeight="1" x14ac:dyDescent="0.3">
      <c r="A76" s="38">
        <v>43250</v>
      </c>
      <c r="B76" s="37">
        <v>21052</v>
      </c>
      <c r="D76" s="34">
        <v>44228</v>
      </c>
      <c r="E76">
        <f t="shared" si="5"/>
        <v>20791</v>
      </c>
      <c r="G76" s="34">
        <v>44228</v>
      </c>
      <c r="H76" s="34" t="b">
        <f t="shared" si="6"/>
        <v>1</v>
      </c>
      <c r="L76" s="2"/>
    </row>
    <row r="77" spans="1:12" ht="29.25" customHeight="1" x14ac:dyDescent="0.3">
      <c r="A77" s="38">
        <v>43257</v>
      </c>
      <c r="B77" s="37">
        <v>19535</v>
      </c>
      <c r="D77" s="34">
        <v>44229</v>
      </c>
      <c r="E77">
        <f t="shared" si="5"/>
        <v>20791</v>
      </c>
      <c r="G77" s="34">
        <v>44229</v>
      </c>
      <c r="H77" s="34" t="b">
        <f t="shared" si="6"/>
        <v>1</v>
      </c>
      <c r="L77" s="2"/>
    </row>
    <row r="78" spans="1:12" ht="29.25" customHeight="1" x14ac:dyDescent="0.3">
      <c r="A78" s="38">
        <v>43264</v>
      </c>
      <c r="B78" s="37">
        <v>20113</v>
      </c>
      <c r="D78" s="34">
        <v>44230</v>
      </c>
      <c r="E78">
        <f t="shared" si="5"/>
        <v>21377</v>
      </c>
      <c r="G78" s="34">
        <v>44230</v>
      </c>
      <c r="H78" s="34" t="b">
        <f t="shared" si="6"/>
        <v>1</v>
      </c>
      <c r="L78" s="2"/>
    </row>
    <row r="79" spans="1:12" ht="29.25" customHeight="1" x14ac:dyDescent="0.3">
      <c r="A79" s="38">
        <v>43271</v>
      </c>
      <c r="B79" s="37">
        <v>19188</v>
      </c>
      <c r="D79" s="34">
        <v>44231</v>
      </c>
      <c r="E79">
        <f t="shared" si="5"/>
        <v>21377</v>
      </c>
      <c r="G79" s="34">
        <v>44231</v>
      </c>
      <c r="H79" s="34" t="b">
        <f t="shared" si="6"/>
        <v>1</v>
      </c>
      <c r="L79" s="2"/>
    </row>
    <row r="80" spans="1:12" ht="29.25" customHeight="1" x14ac:dyDescent="0.3">
      <c r="A80" s="38">
        <v>43278</v>
      </c>
      <c r="B80" s="37">
        <v>18682</v>
      </c>
      <c r="D80" s="34">
        <v>44232</v>
      </c>
      <c r="E80">
        <f t="shared" si="5"/>
        <v>21377</v>
      </c>
      <c r="G80" s="34">
        <v>44232</v>
      </c>
      <c r="H80" s="34" t="b">
        <f t="shared" si="6"/>
        <v>1</v>
      </c>
      <c r="L80" s="2"/>
    </row>
    <row r="81" spans="1:12" ht="29.25" customHeight="1" x14ac:dyDescent="0.3">
      <c r="A81" s="38">
        <v>43285</v>
      </c>
      <c r="B81" s="37">
        <v>17527</v>
      </c>
      <c r="D81" s="34">
        <v>44235</v>
      </c>
      <c r="E81">
        <f t="shared" si="5"/>
        <v>21377</v>
      </c>
      <c r="G81" s="34">
        <v>44235</v>
      </c>
      <c r="H81" s="34" t="b">
        <f t="shared" si="6"/>
        <v>1</v>
      </c>
      <c r="L81" s="2"/>
    </row>
    <row r="82" spans="1:12" ht="29.25" customHeight="1" x14ac:dyDescent="0.3">
      <c r="A82" s="38">
        <v>43292</v>
      </c>
      <c r="B82" s="37">
        <v>17115</v>
      </c>
      <c r="D82" s="34">
        <v>44236</v>
      </c>
      <c r="E82">
        <f t="shared" si="5"/>
        <v>21377</v>
      </c>
      <c r="G82" s="34">
        <v>44236</v>
      </c>
      <c r="H82" s="34" t="b">
        <f t="shared" si="6"/>
        <v>1</v>
      </c>
      <c r="L82" s="2"/>
    </row>
    <row r="83" spans="1:12" ht="29.25" customHeight="1" x14ac:dyDescent="0.3">
      <c r="A83" s="38">
        <v>43299</v>
      </c>
      <c r="B83" s="37">
        <v>19624</v>
      </c>
      <c r="D83" s="34">
        <v>44237</v>
      </c>
      <c r="E83">
        <f t="shared" si="5"/>
        <v>21006</v>
      </c>
      <c r="G83" s="34">
        <v>44237</v>
      </c>
      <c r="H83" s="34" t="b">
        <f t="shared" si="6"/>
        <v>1</v>
      </c>
      <c r="L83" s="2"/>
    </row>
    <row r="84" spans="1:12" ht="29.25" customHeight="1" x14ac:dyDescent="0.3">
      <c r="A84" s="38">
        <v>43306</v>
      </c>
      <c r="B84" s="37">
        <v>16196</v>
      </c>
      <c r="D84" s="34">
        <v>44238</v>
      </c>
      <c r="E84">
        <f t="shared" si="5"/>
        <v>21006</v>
      </c>
      <c r="G84" s="34">
        <v>44238</v>
      </c>
      <c r="H84" s="34" t="b">
        <f t="shared" si="6"/>
        <v>1</v>
      </c>
      <c r="L84" s="2"/>
    </row>
    <row r="85" spans="1:12" ht="29.25" customHeight="1" x14ac:dyDescent="0.3">
      <c r="A85" s="38">
        <v>43313</v>
      </c>
      <c r="B85" s="37">
        <v>14799</v>
      </c>
      <c r="D85" s="34">
        <v>44239</v>
      </c>
      <c r="E85">
        <f t="shared" si="5"/>
        <v>21006</v>
      </c>
      <c r="G85" s="34">
        <v>44239</v>
      </c>
      <c r="H85" s="34" t="b">
        <f t="shared" si="6"/>
        <v>1</v>
      </c>
      <c r="L85" s="2"/>
    </row>
    <row r="86" spans="1:12" ht="29.25" customHeight="1" x14ac:dyDescent="0.3">
      <c r="A86" s="38">
        <v>43320</v>
      </c>
      <c r="B86" s="37">
        <v>14348</v>
      </c>
      <c r="D86" s="34">
        <v>44242</v>
      </c>
      <c r="E86">
        <f t="shared" si="5"/>
        <v>21006</v>
      </c>
      <c r="G86" s="34">
        <v>44242</v>
      </c>
      <c r="H86" s="34" t="b">
        <f t="shared" si="6"/>
        <v>1</v>
      </c>
      <c r="L86" s="2"/>
    </row>
    <row r="87" spans="1:12" ht="29.25" customHeight="1" x14ac:dyDescent="0.3">
      <c r="A87" s="38">
        <v>43327</v>
      </c>
      <c r="B87" s="37">
        <v>15272</v>
      </c>
      <c r="D87" s="34">
        <v>44243</v>
      </c>
      <c r="E87">
        <f t="shared" si="5"/>
        <v>21006</v>
      </c>
      <c r="G87" s="34">
        <v>44243</v>
      </c>
      <c r="H87" s="34" t="b">
        <f t="shared" si="6"/>
        <v>1</v>
      </c>
      <c r="L87" s="2"/>
    </row>
    <row r="88" spans="1:12" ht="29.25" customHeight="1" x14ac:dyDescent="0.3">
      <c r="A88" s="38">
        <v>43334</v>
      </c>
      <c r="B88" s="37">
        <v>14233</v>
      </c>
      <c r="D88" s="34">
        <v>44244</v>
      </c>
      <c r="E88">
        <f t="shared" si="5"/>
        <v>19379</v>
      </c>
      <c r="G88" s="34">
        <v>44244</v>
      </c>
      <c r="H88" s="34" t="b">
        <f t="shared" si="6"/>
        <v>1</v>
      </c>
      <c r="L88" s="2"/>
    </row>
    <row r="89" spans="1:12" ht="29.25" customHeight="1" x14ac:dyDescent="0.3">
      <c r="A89" s="38">
        <v>43341</v>
      </c>
      <c r="B89" s="37">
        <v>16661</v>
      </c>
      <c r="D89" s="34">
        <v>44245</v>
      </c>
      <c r="E89">
        <f t="shared" si="5"/>
        <v>19379</v>
      </c>
      <c r="G89" s="34">
        <v>44245</v>
      </c>
      <c r="H89" s="34" t="b">
        <f t="shared" si="6"/>
        <v>1</v>
      </c>
      <c r="L89" s="2"/>
    </row>
    <row r="90" spans="1:12" ht="29.25" customHeight="1" x14ac:dyDescent="0.3">
      <c r="A90" s="38">
        <v>43348</v>
      </c>
      <c r="B90" s="37">
        <v>16068</v>
      </c>
      <c r="D90" s="34">
        <v>44246</v>
      </c>
      <c r="E90">
        <f t="shared" si="5"/>
        <v>19379</v>
      </c>
      <c r="G90" s="34">
        <v>44246</v>
      </c>
      <c r="H90" s="34" t="b">
        <f t="shared" si="6"/>
        <v>1</v>
      </c>
      <c r="L90" s="2"/>
    </row>
    <row r="91" spans="1:12" ht="29.25" customHeight="1" x14ac:dyDescent="0.3">
      <c r="A91" s="38">
        <v>43355</v>
      </c>
      <c r="B91" s="37">
        <v>15943</v>
      </c>
      <c r="D91" s="34">
        <v>44249</v>
      </c>
      <c r="E91">
        <f t="shared" si="5"/>
        <v>19379</v>
      </c>
      <c r="G91" s="34">
        <v>44249</v>
      </c>
      <c r="H91" s="34" t="b">
        <f t="shared" si="6"/>
        <v>1</v>
      </c>
      <c r="L91" s="2"/>
    </row>
    <row r="92" spans="1:12" ht="29.25" customHeight="1" x14ac:dyDescent="0.3">
      <c r="A92" s="38">
        <v>43362</v>
      </c>
      <c r="B92" s="37">
        <v>15288</v>
      </c>
      <c r="D92" s="34">
        <v>44250</v>
      </c>
      <c r="E92">
        <f t="shared" si="5"/>
        <v>19379</v>
      </c>
      <c r="G92" s="34">
        <v>44250</v>
      </c>
      <c r="H92" s="34" t="b">
        <f t="shared" si="6"/>
        <v>1</v>
      </c>
      <c r="L92" s="2"/>
    </row>
    <row r="93" spans="1:12" ht="29.25" customHeight="1" x14ac:dyDescent="0.3">
      <c r="A93" s="38">
        <v>43369</v>
      </c>
      <c r="B93" s="37">
        <v>17616</v>
      </c>
      <c r="D93" s="34">
        <v>44251</v>
      </c>
      <c r="E93">
        <f t="shared" si="5"/>
        <v>20391</v>
      </c>
      <c r="G93" s="34">
        <v>44251</v>
      </c>
      <c r="H93" s="34" t="b">
        <f t="shared" si="6"/>
        <v>1</v>
      </c>
      <c r="L93" s="2"/>
    </row>
    <row r="94" spans="1:12" ht="29.25" customHeight="1" x14ac:dyDescent="0.3">
      <c r="A94" s="38">
        <v>43376</v>
      </c>
      <c r="B94" s="37">
        <v>17564</v>
      </c>
      <c r="D94" s="34">
        <v>44252</v>
      </c>
      <c r="E94">
        <f t="shared" si="5"/>
        <v>20391</v>
      </c>
      <c r="G94" s="34">
        <v>44252</v>
      </c>
      <c r="H94" s="34" t="b">
        <f t="shared" si="6"/>
        <v>1</v>
      </c>
      <c r="L94" s="2"/>
    </row>
    <row r="95" spans="1:12" ht="29.25" customHeight="1" x14ac:dyDescent="0.3">
      <c r="A95" s="38">
        <v>43383</v>
      </c>
      <c r="B95" s="37">
        <v>18653</v>
      </c>
      <c r="D95" s="34">
        <v>44253</v>
      </c>
      <c r="E95">
        <f t="shared" si="5"/>
        <v>20391</v>
      </c>
      <c r="G95" s="34">
        <v>44253</v>
      </c>
      <c r="H95" s="34" t="b">
        <f t="shared" si="6"/>
        <v>1</v>
      </c>
      <c r="L95" s="2"/>
    </row>
    <row r="96" spans="1:12" ht="29.25" customHeight="1" x14ac:dyDescent="0.3">
      <c r="A96" s="38">
        <v>43390</v>
      </c>
      <c r="B96" s="37">
        <v>17707</v>
      </c>
      <c r="D96" s="34">
        <v>44256</v>
      </c>
      <c r="E96">
        <f t="shared" si="5"/>
        <v>20391</v>
      </c>
      <c r="G96" s="34">
        <v>44256</v>
      </c>
      <c r="H96" s="34" t="b">
        <f t="shared" si="6"/>
        <v>1</v>
      </c>
      <c r="L96" s="2"/>
    </row>
    <row r="97" spans="1:12" ht="29.25" customHeight="1" x14ac:dyDescent="0.3">
      <c r="A97" s="38">
        <v>43397</v>
      </c>
      <c r="B97" s="37">
        <v>18358</v>
      </c>
      <c r="D97" s="34">
        <v>44257</v>
      </c>
      <c r="E97">
        <f t="shared" si="5"/>
        <v>20391</v>
      </c>
      <c r="G97" s="34">
        <v>44257</v>
      </c>
      <c r="H97" s="34" t="b">
        <f t="shared" si="6"/>
        <v>1</v>
      </c>
      <c r="L97" s="2"/>
    </row>
    <row r="98" spans="1:12" ht="29.25" customHeight="1" x14ac:dyDescent="0.3">
      <c r="A98" s="38">
        <v>43404</v>
      </c>
      <c r="B98" s="37">
        <v>15456</v>
      </c>
      <c r="D98" s="34">
        <v>44258</v>
      </c>
      <c r="E98">
        <f t="shared" si="5"/>
        <v>21900</v>
      </c>
      <c r="G98" s="34">
        <v>44258</v>
      </c>
      <c r="H98" s="34" t="b">
        <f t="shared" si="6"/>
        <v>1</v>
      </c>
      <c r="L98" s="2"/>
    </row>
    <row r="99" spans="1:12" ht="29.25" customHeight="1" x14ac:dyDescent="0.3">
      <c r="A99" s="38">
        <v>43411</v>
      </c>
      <c r="B99" s="37">
        <v>16076</v>
      </c>
      <c r="D99" s="34">
        <v>44259</v>
      </c>
      <c r="E99">
        <f t="shared" si="5"/>
        <v>21900</v>
      </c>
      <c r="G99" s="34">
        <v>44259</v>
      </c>
      <c r="H99" s="34" t="b">
        <f t="shared" si="6"/>
        <v>1</v>
      </c>
      <c r="L99" s="2"/>
    </row>
    <row r="100" spans="1:12" ht="29.25" customHeight="1" x14ac:dyDescent="0.3">
      <c r="A100" s="38">
        <v>43418</v>
      </c>
      <c r="B100" s="37">
        <v>15821</v>
      </c>
      <c r="D100" s="34">
        <v>44260</v>
      </c>
      <c r="E100">
        <f t="shared" si="5"/>
        <v>21900</v>
      </c>
      <c r="G100" s="34">
        <v>44260</v>
      </c>
      <c r="H100" s="34" t="b">
        <f t="shared" si="6"/>
        <v>1</v>
      </c>
      <c r="L100" s="2"/>
    </row>
    <row r="101" spans="1:12" ht="29.25" customHeight="1" x14ac:dyDescent="0.3">
      <c r="A101" s="38">
        <v>43425</v>
      </c>
      <c r="B101" s="37">
        <v>17903</v>
      </c>
      <c r="D101" s="34">
        <v>44263</v>
      </c>
      <c r="E101">
        <f t="shared" si="5"/>
        <v>21900</v>
      </c>
      <c r="G101" s="34">
        <v>44263</v>
      </c>
      <c r="H101" s="34" t="b">
        <f t="shared" si="6"/>
        <v>1</v>
      </c>
      <c r="L101" s="2"/>
    </row>
    <row r="102" spans="1:12" ht="29.25" customHeight="1" x14ac:dyDescent="0.3">
      <c r="A102" s="38">
        <v>43432</v>
      </c>
      <c r="B102" s="37">
        <v>18928</v>
      </c>
      <c r="D102" s="34">
        <v>44264</v>
      </c>
      <c r="E102">
        <f t="shared" si="5"/>
        <v>21900</v>
      </c>
      <c r="G102" s="34">
        <v>44264</v>
      </c>
      <c r="H102" s="34" t="b">
        <f t="shared" si="6"/>
        <v>1</v>
      </c>
      <c r="L102" s="2"/>
    </row>
    <row r="103" spans="1:12" ht="29.25" customHeight="1" x14ac:dyDescent="0.3">
      <c r="A103" s="38">
        <v>43439</v>
      </c>
      <c r="B103" s="37">
        <v>19838</v>
      </c>
      <c r="D103" s="34">
        <v>44265</v>
      </c>
      <c r="E103">
        <f t="shared" si="5"/>
        <v>22798</v>
      </c>
      <c r="G103" s="34">
        <v>44265</v>
      </c>
      <c r="H103" s="34" t="b">
        <f t="shared" si="6"/>
        <v>1</v>
      </c>
      <c r="L103" s="2"/>
    </row>
    <row r="104" spans="1:12" ht="29.25" customHeight="1" x14ac:dyDescent="0.3">
      <c r="A104" s="38">
        <v>43446</v>
      </c>
      <c r="B104" s="37">
        <v>19594</v>
      </c>
      <c r="D104" s="34">
        <v>44266</v>
      </c>
      <c r="E104">
        <f t="shared" si="5"/>
        <v>22798</v>
      </c>
      <c r="G104" s="34">
        <v>44266</v>
      </c>
      <c r="H104" s="34" t="b">
        <f t="shared" si="6"/>
        <v>1</v>
      </c>
      <c r="L104" s="2"/>
    </row>
    <row r="105" spans="1:12" ht="29.25" customHeight="1" x14ac:dyDescent="0.3">
      <c r="A105" s="38">
        <v>43453</v>
      </c>
      <c r="B105" s="37">
        <v>20813</v>
      </c>
      <c r="D105" s="34">
        <v>44267</v>
      </c>
      <c r="E105">
        <f t="shared" si="5"/>
        <v>22798</v>
      </c>
      <c r="G105" s="34">
        <v>44267</v>
      </c>
      <c r="H105" s="34" t="b">
        <f t="shared" si="6"/>
        <v>1</v>
      </c>
      <c r="L105" s="2"/>
    </row>
    <row r="106" spans="1:12" ht="29.25" customHeight="1" x14ac:dyDescent="0.3">
      <c r="A106" s="38">
        <v>43460</v>
      </c>
      <c r="B106" s="37">
        <v>20200</v>
      </c>
      <c r="D106" s="34">
        <v>44270</v>
      </c>
      <c r="E106">
        <f t="shared" si="5"/>
        <v>22798</v>
      </c>
      <c r="G106" s="34">
        <v>44270</v>
      </c>
      <c r="H106" s="34" t="b">
        <f t="shared" si="6"/>
        <v>1</v>
      </c>
      <c r="L106" s="2"/>
    </row>
    <row r="107" spans="1:12" ht="29.25" customHeight="1" x14ac:dyDescent="0.3">
      <c r="A107" s="38">
        <v>43467</v>
      </c>
      <c r="B107" s="37">
        <v>20048</v>
      </c>
      <c r="D107" s="34">
        <v>44271</v>
      </c>
      <c r="E107">
        <f t="shared" si="5"/>
        <v>22798</v>
      </c>
      <c r="G107" s="34">
        <v>44271</v>
      </c>
      <c r="H107" s="34" t="b">
        <f t="shared" si="6"/>
        <v>1</v>
      </c>
      <c r="L107" s="2"/>
    </row>
    <row r="108" spans="1:12" ht="29.25" customHeight="1" x14ac:dyDescent="0.3">
      <c r="A108" s="38">
        <v>43474</v>
      </c>
      <c r="B108" s="37">
        <v>18941</v>
      </c>
      <c r="D108" s="34">
        <v>44272</v>
      </c>
      <c r="E108">
        <f t="shared" si="5"/>
        <v>22849</v>
      </c>
      <c r="G108" s="34">
        <v>44272</v>
      </c>
      <c r="H108" s="34" t="b">
        <f t="shared" si="6"/>
        <v>1</v>
      </c>
      <c r="L108" s="2"/>
    </row>
    <row r="109" spans="1:12" ht="29.25" customHeight="1" x14ac:dyDescent="0.3">
      <c r="A109" s="38">
        <v>43481</v>
      </c>
      <c r="B109" s="37">
        <v>18404</v>
      </c>
      <c r="D109" s="34">
        <v>44273</v>
      </c>
      <c r="E109">
        <f t="shared" si="5"/>
        <v>22849</v>
      </c>
      <c r="G109" s="34">
        <v>44273</v>
      </c>
      <c r="H109" s="34" t="b">
        <f t="shared" si="6"/>
        <v>1</v>
      </c>
      <c r="L109" s="2"/>
    </row>
    <row r="110" spans="1:12" ht="29.25" customHeight="1" x14ac:dyDescent="0.3">
      <c r="A110" s="38">
        <v>43488</v>
      </c>
      <c r="B110" s="37">
        <v>19812</v>
      </c>
      <c r="D110" s="34">
        <v>44274</v>
      </c>
      <c r="E110">
        <f t="shared" si="5"/>
        <v>22849</v>
      </c>
      <c r="G110" s="34">
        <v>44274</v>
      </c>
      <c r="H110" s="34" t="b">
        <f t="shared" si="6"/>
        <v>1</v>
      </c>
      <c r="L110" s="2"/>
    </row>
    <row r="111" spans="1:12" ht="29.25" customHeight="1" x14ac:dyDescent="0.3">
      <c r="A111" s="38">
        <v>43495</v>
      </c>
      <c r="B111" s="37">
        <v>20290</v>
      </c>
      <c r="D111" s="34">
        <v>44277</v>
      </c>
      <c r="E111">
        <f t="shared" si="5"/>
        <v>22849</v>
      </c>
      <c r="G111" s="34">
        <v>44277</v>
      </c>
      <c r="H111" s="34" t="b">
        <f t="shared" si="6"/>
        <v>1</v>
      </c>
      <c r="L111" s="2"/>
    </row>
    <row r="112" spans="1:12" ht="29.25" customHeight="1" x14ac:dyDescent="0.3">
      <c r="A112" s="38">
        <v>43502</v>
      </c>
      <c r="B112" s="37">
        <v>19316</v>
      </c>
      <c r="D112" s="34">
        <v>44278</v>
      </c>
      <c r="E112">
        <f t="shared" si="5"/>
        <v>22849</v>
      </c>
      <c r="G112" s="34">
        <v>44278</v>
      </c>
      <c r="H112" s="34" t="b">
        <f t="shared" si="6"/>
        <v>1</v>
      </c>
      <c r="L112" s="2"/>
    </row>
    <row r="113" spans="1:12" ht="29.25" customHeight="1" x14ac:dyDescent="0.3">
      <c r="A113" s="38">
        <v>43509</v>
      </c>
      <c r="B113" s="37">
        <v>23155</v>
      </c>
      <c r="D113" s="34">
        <v>44279</v>
      </c>
      <c r="E113">
        <f t="shared" si="5"/>
        <v>22311</v>
      </c>
      <c r="G113" s="34">
        <v>44279</v>
      </c>
      <c r="H113" s="34" t="b">
        <f t="shared" si="6"/>
        <v>1</v>
      </c>
      <c r="L113" s="2"/>
    </row>
    <row r="114" spans="1:12" ht="29.25" customHeight="1" x14ac:dyDescent="0.3">
      <c r="A114" s="38">
        <v>43516</v>
      </c>
      <c r="B114" s="37">
        <v>20555</v>
      </c>
      <c r="D114" s="34">
        <v>44280</v>
      </c>
      <c r="E114">
        <f t="shared" si="5"/>
        <v>22311</v>
      </c>
      <c r="G114" s="34">
        <v>44280</v>
      </c>
      <c r="H114" s="34" t="b">
        <f t="shared" si="6"/>
        <v>1</v>
      </c>
      <c r="L114" s="2"/>
    </row>
    <row r="115" spans="1:12" ht="29.25" customHeight="1" x14ac:dyDescent="0.3">
      <c r="A115" s="38">
        <v>43523</v>
      </c>
      <c r="B115" s="37">
        <v>21664</v>
      </c>
      <c r="D115" s="34">
        <v>44281</v>
      </c>
      <c r="E115">
        <f t="shared" si="5"/>
        <v>22311</v>
      </c>
      <c r="G115" s="34">
        <v>44281</v>
      </c>
      <c r="H115" s="34" t="b">
        <f t="shared" si="6"/>
        <v>1</v>
      </c>
      <c r="L115" s="2"/>
    </row>
    <row r="116" spans="1:12" ht="29.25" customHeight="1" x14ac:dyDescent="0.3">
      <c r="A116" s="38">
        <v>43530</v>
      </c>
      <c r="B116" s="37">
        <v>20334</v>
      </c>
      <c r="D116" s="34">
        <v>44284</v>
      </c>
      <c r="E116">
        <f t="shared" si="5"/>
        <v>22311</v>
      </c>
      <c r="G116" s="34">
        <v>44284</v>
      </c>
      <c r="H116" s="34" t="b">
        <f t="shared" si="6"/>
        <v>1</v>
      </c>
      <c r="L116" s="2"/>
    </row>
    <row r="117" spans="1:12" ht="29.25" customHeight="1" x14ac:dyDescent="0.3">
      <c r="A117" s="38">
        <v>43537</v>
      </c>
      <c r="B117" s="37">
        <v>22179</v>
      </c>
      <c r="D117" s="34">
        <v>44285</v>
      </c>
      <c r="E117">
        <f t="shared" si="5"/>
        <v>22311</v>
      </c>
      <c r="G117" s="34">
        <v>44285</v>
      </c>
      <c r="H117" s="34" t="b">
        <f t="shared" si="6"/>
        <v>1</v>
      </c>
      <c r="L117" s="2"/>
    </row>
    <row r="118" spans="1:12" ht="29.25" customHeight="1" x14ac:dyDescent="0.3">
      <c r="A118" s="38">
        <v>43544</v>
      </c>
      <c r="B118" s="37">
        <v>20388</v>
      </c>
      <c r="D118" s="34">
        <v>44286</v>
      </c>
      <c r="E118">
        <f t="shared" si="5"/>
        <v>23167</v>
      </c>
      <c r="G118" s="34">
        <v>44286</v>
      </c>
      <c r="H118" s="34" t="b">
        <f t="shared" si="6"/>
        <v>1</v>
      </c>
      <c r="L118" s="2"/>
    </row>
    <row r="119" spans="1:12" ht="29.25" customHeight="1" x14ac:dyDescent="0.3">
      <c r="A119" s="38">
        <v>43551</v>
      </c>
      <c r="B119" s="37">
        <v>19418</v>
      </c>
      <c r="D119" s="34">
        <v>44287</v>
      </c>
      <c r="E119">
        <f t="shared" si="5"/>
        <v>23167</v>
      </c>
      <c r="G119" s="34">
        <v>44287</v>
      </c>
      <c r="H119" s="34" t="b">
        <f t="shared" si="6"/>
        <v>1</v>
      </c>
      <c r="L119" s="2"/>
    </row>
    <row r="120" spans="1:12" ht="29.25" customHeight="1" x14ac:dyDescent="0.3">
      <c r="A120" s="38">
        <v>43558</v>
      </c>
      <c r="B120" s="37">
        <v>21663</v>
      </c>
      <c r="D120" s="34">
        <v>44291</v>
      </c>
      <c r="E120">
        <f t="shared" si="5"/>
        <v>23167</v>
      </c>
      <c r="G120" s="34">
        <v>44291</v>
      </c>
      <c r="H120" s="34" t="b">
        <f t="shared" si="6"/>
        <v>1</v>
      </c>
      <c r="L120" s="2"/>
    </row>
    <row r="121" spans="1:12" ht="29.25" customHeight="1" x14ac:dyDescent="0.3">
      <c r="A121" s="38">
        <v>43565</v>
      </c>
      <c r="B121" s="37">
        <v>21670</v>
      </c>
      <c r="D121" s="34">
        <v>44292</v>
      </c>
      <c r="E121">
        <f t="shared" si="5"/>
        <v>23167</v>
      </c>
      <c r="G121" s="34">
        <v>44292</v>
      </c>
      <c r="H121" s="34" t="b">
        <f t="shared" si="6"/>
        <v>1</v>
      </c>
      <c r="L121" s="2"/>
    </row>
    <row r="122" spans="1:12" ht="29.25" customHeight="1" x14ac:dyDescent="0.3">
      <c r="A122" s="38">
        <v>43572</v>
      </c>
      <c r="B122" s="37">
        <v>23683</v>
      </c>
      <c r="D122" s="34">
        <v>44293</v>
      </c>
      <c r="E122">
        <f t="shared" si="5"/>
        <v>23621</v>
      </c>
      <c r="G122" s="34">
        <v>44293</v>
      </c>
      <c r="H122" s="34" t="b">
        <f t="shared" si="6"/>
        <v>1</v>
      </c>
      <c r="L122" s="2"/>
    </row>
    <row r="123" spans="1:12" ht="29.25" customHeight="1" x14ac:dyDescent="0.3">
      <c r="A123" s="38">
        <v>43579</v>
      </c>
      <c r="B123" s="37">
        <v>24300</v>
      </c>
      <c r="D123" s="34">
        <v>44294</v>
      </c>
      <c r="E123">
        <f t="shared" si="5"/>
        <v>23621</v>
      </c>
      <c r="G123" s="34">
        <v>44294</v>
      </c>
      <c r="H123" s="34" t="b">
        <f t="shared" si="6"/>
        <v>1</v>
      </c>
      <c r="L123" s="2"/>
    </row>
    <row r="124" spans="1:12" ht="29.25" customHeight="1" x14ac:dyDescent="0.3">
      <c r="A124" s="38">
        <v>43586</v>
      </c>
      <c r="B124" s="37">
        <v>23576</v>
      </c>
      <c r="D124" s="34">
        <v>44295</v>
      </c>
      <c r="E124">
        <f t="shared" si="5"/>
        <v>23621</v>
      </c>
      <c r="G124" s="34">
        <v>44295</v>
      </c>
      <c r="H124" s="34" t="b">
        <f t="shared" si="6"/>
        <v>1</v>
      </c>
      <c r="L124" s="2"/>
    </row>
    <row r="125" spans="1:12" ht="29.25" customHeight="1" x14ac:dyDescent="0.3">
      <c r="A125" s="38">
        <v>43593</v>
      </c>
      <c r="B125" s="37">
        <v>26498</v>
      </c>
      <c r="D125" s="34">
        <v>44298</v>
      </c>
      <c r="E125">
        <f t="shared" si="5"/>
        <v>23621</v>
      </c>
      <c r="G125" s="34">
        <v>44298</v>
      </c>
      <c r="H125" s="34" t="b">
        <f t="shared" si="6"/>
        <v>1</v>
      </c>
      <c r="L125" s="2"/>
    </row>
    <row r="126" spans="1:12" ht="29.25" customHeight="1" x14ac:dyDescent="0.3">
      <c r="A126" s="38">
        <v>43600</v>
      </c>
      <c r="B126" s="37">
        <v>23770</v>
      </c>
      <c r="D126" s="34">
        <v>44299</v>
      </c>
      <c r="E126">
        <f t="shared" si="5"/>
        <v>23621</v>
      </c>
      <c r="G126" s="34">
        <v>44299</v>
      </c>
      <c r="H126" s="34" t="b">
        <f t="shared" si="6"/>
        <v>1</v>
      </c>
      <c r="L126" s="2"/>
    </row>
    <row r="127" spans="1:12" ht="29.25" customHeight="1" x14ac:dyDescent="0.3">
      <c r="A127" s="38">
        <v>43607</v>
      </c>
      <c r="B127" s="37">
        <v>22465</v>
      </c>
      <c r="D127" s="34">
        <v>44300</v>
      </c>
      <c r="E127">
        <f t="shared" si="5"/>
        <v>23958</v>
      </c>
      <c r="G127" s="34">
        <v>44300</v>
      </c>
      <c r="H127" s="34" t="b">
        <f t="shared" si="6"/>
        <v>1</v>
      </c>
      <c r="L127" s="2"/>
    </row>
    <row r="128" spans="1:12" ht="29.25" customHeight="1" x14ac:dyDescent="0.3">
      <c r="A128" s="38">
        <v>43614</v>
      </c>
      <c r="B128" s="37">
        <v>21790</v>
      </c>
      <c r="D128" s="34">
        <v>44301</v>
      </c>
      <c r="E128">
        <f t="shared" si="5"/>
        <v>23958</v>
      </c>
      <c r="G128" s="34">
        <v>44301</v>
      </c>
      <c r="H128" s="34" t="b">
        <f t="shared" si="6"/>
        <v>1</v>
      </c>
      <c r="L128" s="2"/>
    </row>
    <row r="129" spans="1:12" ht="29.25" customHeight="1" x14ac:dyDescent="0.3">
      <c r="A129" s="38">
        <v>43621</v>
      </c>
      <c r="B129" s="37">
        <v>22194</v>
      </c>
      <c r="D129" s="34">
        <v>44302</v>
      </c>
      <c r="E129">
        <f t="shared" si="5"/>
        <v>23958</v>
      </c>
      <c r="G129" s="34">
        <v>44302</v>
      </c>
      <c r="H129" s="34" t="b">
        <f t="shared" si="6"/>
        <v>1</v>
      </c>
      <c r="L129" s="2"/>
    </row>
    <row r="130" spans="1:12" ht="29.25" customHeight="1" x14ac:dyDescent="0.3">
      <c r="A130" s="38">
        <v>43628</v>
      </c>
      <c r="B130" s="37">
        <v>23826</v>
      </c>
      <c r="D130" s="34">
        <v>44305</v>
      </c>
      <c r="E130">
        <f t="shared" si="5"/>
        <v>23958</v>
      </c>
      <c r="G130" s="34">
        <v>44305</v>
      </c>
      <c r="H130" s="34" t="b">
        <f t="shared" si="6"/>
        <v>1</v>
      </c>
      <c r="L130" s="2"/>
    </row>
    <row r="131" spans="1:12" ht="29.25" customHeight="1" x14ac:dyDescent="0.3">
      <c r="A131" s="38">
        <v>43635</v>
      </c>
      <c r="B131" s="37">
        <v>23798</v>
      </c>
      <c r="D131" s="34">
        <v>44306</v>
      </c>
      <c r="E131">
        <f t="shared" ref="E131:E194" si="7">LOOKUP(D131,A:A,B:B)</f>
        <v>23958</v>
      </c>
      <c r="G131" s="34">
        <v>44306</v>
      </c>
      <c r="H131" s="34" t="b">
        <f t="shared" ref="H131:H194" si="8">G131=D131</f>
        <v>1</v>
      </c>
      <c r="L131" s="2"/>
    </row>
    <row r="132" spans="1:12" ht="29.25" customHeight="1" x14ac:dyDescent="0.3">
      <c r="A132" s="38">
        <v>43642</v>
      </c>
      <c r="B132" s="37">
        <v>22837</v>
      </c>
      <c r="D132" s="34">
        <v>44307</v>
      </c>
      <c r="E132">
        <f t="shared" si="7"/>
        <v>24813</v>
      </c>
      <c r="G132" s="34">
        <v>44307</v>
      </c>
      <c r="H132" s="34" t="b">
        <f t="shared" si="8"/>
        <v>1</v>
      </c>
      <c r="L132" s="2"/>
    </row>
    <row r="133" spans="1:12" ht="29.25" customHeight="1" x14ac:dyDescent="0.3">
      <c r="A133" s="38">
        <v>43649</v>
      </c>
      <c r="B133" s="37">
        <v>19557</v>
      </c>
      <c r="D133" s="34">
        <v>44308</v>
      </c>
      <c r="E133">
        <f t="shared" si="7"/>
        <v>24813</v>
      </c>
      <c r="G133" s="34">
        <v>44308</v>
      </c>
      <c r="H133" s="34" t="b">
        <f t="shared" si="8"/>
        <v>1</v>
      </c>
      <c r="L133" s="2"/>
    </row>
    <row r="134" spans="1:12" ht="29.25" customHeight="1" x14ac:dyDescent="0.3">
      <c r="A134" s="38">
        <v>43656</v>
      </c>
      <c r="B134" s="37">
        <v>19354</v>
      </c>
      <c r="D134" s="34">
        <v>44309</v>
      </c>
      <c r="E134">
        <f t="shared" si="7"/>
        <v>24813</v>
      </c>
      <c r="G134" s="34">
        <v>44309</v>
      </c>
      <c r="H134" s="34" t="b">
        <f t="shared" si="8"/>
        <v>1</v>
      </c>
      <c r="L134" s="2"/>
    </row>
    <row r="135" spans="1:12" ht="29.25" customHeight="1" x14ac:dyDescent="0.3">
      <c r="A135" s="38">
        <v>43663</v>
      </c>
      <c r="B135" s="37">
        <v>18539</v>
      </c>
      <c r="D135" s="34">
        <v>44312</v>
      </c>
      <c r="E135">
        <f t="shared" si="7"/>
        <v>24813</v>
      </c>
      <c r="G135" s="34">
        <v>44312</v>
      </c>
      <c r="H135" s="34" t="b">
        <f t="shared" si="8"/>
        <v>1</v>
      </c>
      <c r="L135" s="2"/>
    </row>
    <row r="136" spans="1:12" ht="29.25" customHeight="1" x14ac:dyDescent="0.3">
      <c r="A136" s="38">
        <v>43670</v>
      </c>
      <c r="B136" s="37">
        <v>16916</v>
      </c>
      <c r="D136" s="34">
        <v>44313</v>
      </c>
      <c r="E136">
        <f t="shared" si="7"/>
        <v>24813</v>
      </c>
      <c r="G136" s="34">
        <v>44313</v>
      </c>
      <c r="H136" s="34" t="b">
        <f t="shared" si="8"/>
        <v>1</v>
      </c>
      <c r="L136" s="2"/>
    </row>
    <row r="137" spans="1:12" ht="29.25" customHeight="1" x14ac:dyDescent="0.3">
      <c r="A137" s="38">
        <v>43677</v>
      </c>
      <c r="B137" s="37">
        <v>19082</v>
      </c>
      <c r="D137" s="34">
        <v>44314</v>
      </c>
      <c r="E137">
        <f t="shared" si="7"/>
        <v>24559</v>
      </c>
      <c r="G137" s="34">
        <v>44314</v>
      </c>
      <c r="H137" s="34" t="b">
        <f t="shared" si="8"/>
        <v>1</v>
      </c>
      <c r="L137" s="2"/>
    </row>
    <row r="138" spans="1:12" ht="29.25" customHeight="1" x14ac:dyDescent="0.3">
      <c r="A138" s="38">
        <v>43684</v>
      </c>
      <c r="B138" s="37">
        <v>21917</v>
      </c>
      <c r="D138" s="34">
        <v>44315</v>
      </c>
      <c r="E138">
        <f t="shared" si="7"/>
        <v>24559</v>
      </c>
      <c r="G138" s="34">
        <v>44315</v>
      </c>
      <c r="H138" s="34" t="b">
        <f t="shared" si="8"/>
        <v>1</v>
      </c>
      <c r="L138" s="2"/>
    </row>
    <row r="139" spans="1:12" ht="29.25" customHeight="1" x14ac:dyDescent="0.3">
      <c r="A139" s="38">
        <v>43691</v>
      </c>
      <c r="B139" s="37">
        <v>19741</v>
      </c>
      <c r="D139" s="34">
        <v>44316</v>
      </c>
      <c r="E139">
        <f t="shared" si="7"/>
        <v>24559</v>
      </c>
      <c r="G139" s="34">
        <v>44316</v>
      </c>
      <c r="H139" s="34" t="b">
        <f t="shared" si="8"/>
        <v>1</v>
      </c>
      <c r="L139" s="2"/>
    </row>
    <row r="140" spans="1:12" ht="29.25" customHeight="1" x14ac:dyDescent="0.3">
      <c r="A140" s="38">
        <v>43698</v>
      </c>
      <c r="B140" s="37">
        <v>20372</v>
      </c>
      <c r="D140" s="34">
        <v>44319</v>
      </c>
      <c r="E140">
        <f t="shared" si="7"/>
        <v>24559</v>
      </c>
      <c r="G140" s="34">
        <v>44319</v>
      </c>
      <c r="H140" s="34" t="b">
        <f t="shared" si="8"/>
        <v>1</v>
      </c>
      <c r="L140" s="2"/>
    </row>
    <row r="141" spans="1:12" ht="29.25" customHeight="1" x14ac:dyDescent="0.3">
      <c r="A141" s="38">
        <v>43705</v>
      </c>
      <c r="B141" s="37">
        <v>21439</v>
      </c>
      <c r="D141" s="34">
        <v>44320</v>
      </c>
      <c r="E141">
        <f t="shared" si="7"/>
        <v>24559</v>
      </c>
      <c r="G141" s="34">
        <v>44320</v>
      </c>
      <c r="H141" s="34" t="b">
        <f t="shared" si="8"/>
        <v>1</v>
      </c>
      <c r="L141" s="2"/>
    </row>
    <row r="142" spans="1:12" ht="29.25" customHeight="1" x14ac:dyDescent="0.3">
      <c r="A142" s="38">
        <v>43712</v>
      </c>
      <c r="B142" s="37">
        <v>20956</v>
      </c>
      <c r="D142" s="34">
        <v>44321</v>
      </c>
      <c r="E142">
        <f t="shared" si="7"/>
        <v>27228</v>
      </c>
      <c r="G142" s="34">
        <v>44321</v>
      </c>
      <c r="H142" s="34" t="b">
        <f t="shared" si="8"/>
        <v>1</v>
      </c>
      <c r="L142" s="2"/>
    </row>
    <row r="143" spans="1:12" ht="29.25" customHeight="1" x14ac:dyDescent="0.3">
      <c r="A143" s="38">
        <v>43719</v>
      </c>
      <c r="B143" s="37">
        <v>19745</v>
      </c>
      <c r="D143" s="34">
        <v>44322</v>
      </c>
      <c r="E143">
        <f t="shared" si="7"/>
        <v>27228</v>
      </c>
      <c r="G143" s="34">
        <v>44322</v>
      </c>
      <c r="H143" s="34" t="b">
        <f t="shared" si="8"/>
        <v>1</v>
      </c>
      <c r="L143" s="2"/>
    </row>
    <row r="144" spans="1:12" ht="29.25" customHeight="1" x14ac:dyDescent="0.3">
      <c r="A144" s="38">
        <v>43726</v>
      </c>
      <c r="B144" s="37">
        <v>18519</v>
      </c>
      <c r="D144" s="34">
        <v>44323</v>
      </c>
      <c r="E144">
        <f t="shared" si="7"/>
        <v>27228</v>
      </c>
      <c r="G144" s="34">
        <v>44323</v>
      </c>
      <c r="H144" s="34" t="b">
        <f t="shared" si="8"/>
        <v>1</v>
      </c>
      <c r="L144" s="2"/>
    </row>
    <row r="145" spans="1:12" ht="29.25" customHeight="1" x14ac:dyDescent="0.3">
      <c r="A145" s="38">
        <v>43733</v>
      </c>
      <c r="B145" s="37">
        <v>20369</v>
      </c>
      <c r="D145" s="34">
        <v>44326</v>
      </c>
      <c r="E145">
        <f t="shared" si="7"/>
        <v>27228</v>
      </c>
      <c r="G145" s="34">
        <v>44326</v>
      </c>
      <c r="H145" s="34" t="b">
        <f t="shared" si="8"/>
        <v>1</v>
      </c>
      <c r="L145" s="2"/>
    </row>
    <row r="146" spans="1:12" ht="29.25" customHeight="1" x14ac:dyDescent="0.3">
      <c r="A146" s="38">
        <v>43740</v>
      </c>
      <c r="B146" s="37">
        <v>19130</v>
      </c>
      <c r="D146" s="34">
        <v>44327</v>
      </c>
      <c r="E146">
        <f t="shared" si="7"/>
        <v>26400</v>
      </c>
      <c r="G146" s="34">
        <v>44327</v>
      </c>
      <c r="H146" s="34" t="b">
        <f t="shared" si="8"/>
        <v>1</v>
      </c>
      <c r="L146" s="2"/>
    </row>
    <row r="147" spans="1:12" ht="29.25" customHeight="1" x14ac:dyDescent="0.3">
      <c r="A147" s="38">
        <v>43747</v>
      </c>
      <c r="B147" s="37">
        <v>21900</v>
      </c>
      <c r="D147" s="34">
        <v>44328</v>
      </c>
      <c r="E147">
        <f t="shared" si="7"/>
        <v>26400</v>
      </c>
      <c r="G147" s="34">
        <v>44328</v>
      </c>
      <c r="H147" s="34" t="b">
        <f t="shared" si="8"/>
        <v>1</v>
      </c>
      <c r="L147" s="2"/>
    </row>
    <row r="148" spans="1:12" ht="29.25" customHeight="1" x14ac:dyDescent="0.3">
      <c r="A148" s="38">
        <v>43754</v>
      </c>
      <c r="B148" s="37">
        <v>22108</v>
      </c>
      <c r="D148" s="34">
        <v>44329</v>
      </c>
      <c r="E148">
        <f t="shared" si="7"/>
        <v>26400</v>
      </c>
      <c r="G148" s="34">
        <v>44329</v>
      </c>
      <c r="H148" s="34" t="b">
        <f t="shared" si="8"/>
        <v>1</v>
      </c>
      <c r="L148" s="2"/>
    </row>
    <row r="149" spans="1:12" ht="29.25" customHeight="1" x14ac:dyDescent="0.3">
      <c r="A149" s="38">
        <v>43761</v>
      </c>
      <c r="B149" s="37">
        <v>20809</v>
      </c>
      <c r="D149" s="34">
        <v>44330</v>
      </c>
      <c r="E149">
        <f t="shared" si="7"/>
        <v>26400</v>
      </c>
      <c r="G149" s="34">
        <v>44330</v>
      </c>
      <c r="H149" s="34" t="b">
        <f t="shared" si="8"/>
        <v>1</v>
      </c>
      <c r="L149" s="2"/>
    </row>
    <row r="150" spans="1:12" ht="29.25" customHeight="1" x14ac:dyDescent="0.3">
      <c r="A150" s="38">
        <v>43768</v>
      </c>
      <c r="B150" s="37">
        <v>21847</v>
      </c>
      <c r="D150" s="34">
        <v>44333</v>
      </c>
      <c r="E150">
        <f t="shared" si="7"/>
        <v>26400</v>
      </c>
      <c r="G150" s="34">
        <v>44333</v>
      </c>
      <c r="H150" s="34" t="b">
        <f t="shared" si="8"/>
        <v>1</v>
      </c>
      <c r="L150" s="2"/>
    </row>
    <row r="151" spans="1:12" ht="29.25" customHeight="1" x14ac:dyDescent="0.3">
      <c r="A151" s="38">
        <v>43775</v>
      </c>
      <c r="B151" s="37">
        <v>20899</v>
      </c>
      <c r="D151" s="34">
        <v>44334</v>
      </c>
      <c r="E151">
        <f t="shared" si="7"/>
        <v>26400</v>
      </c>
      <c r="G151" s="34">
        <v>44334</v>
      </c>
      <c r="H151" s="34" t="b">
        <f t="shared" si="8"/>
        <v>1</v>
      </c>
      <c r="L151" s="2"/>
    </row>
    <row r="152" spans="1:12" ht="29.25" customHeight="1" x14ac:dyDescent="0.3">
      <c r="A152" s="38">
        <v>43782</v>
      </c>
      <c r="B152" s="37">
        <v>20355</v>
      </c>
      <c r="D152" s="34">
        <v>44335</v>
      </c>
      <c r="E152">
        <f t="shared" si="7"/>
        <v>24960</v>
      </c>
      <c r="G152" s="34">
        <v>44335</v>
      </c>
      <c r="H152" s="34" t="b">
        <f t="shared" si="8"/>
        <v>1</v>
      </c>
      <c r="L152" s="2"/>
    </row>
    <row r="153" spans="1:12" ht="29.25" customHeight="1" x14ac:dyDescent="0.3">
      <c r="A153" s="38">
        <v>43789</v>
      </c>
      <c r="B153" s="37">
        <v>20830</v>
      </c>
      <c r="D153" s="34">
        <v>44336</v>
      </c>
      <c r="E153">
        <f t="shared" si="7"/>
        <v>24960</v>
      </c>
      <c r="G153" s="34">
        <v>44336</v>
      </c>
      <c r="H153" s="34" t="b">
        <f t="shared" si="8"/>
        <v>1</v>
      </c>
      <c r="L153" s="2"/>
    </row>
    <row r="154" spans="1:12" ht="29.25" customHeight="1" x14ac:dyDescent="0.3">
      <c r="A154" s="38">
        <v>43796</v>
      </c>
      <c r="B154" s="37">
        <v>21784</v>
      </c>
      <c r="D154" s="34">
        <v>44337</v>
      </c>
      <c r="E154">
        <f t="shared" si="7"/>
        <v>24960</v>
      </c>
      <c r="G154" s="34">
        <v>44337</v>
      </c>
      <c r="H154" s="34" t="b">
        <f t="shared" si="8"/>
        <v>1</v>
      </c>
      <c r="L154" s="2"/>
    </row>
    <row r="155" spans="1:12" ht="29.25" customHeight="1" x14ac:dyDescent="0.3">
      <c r="A155" s="38">
        <v>43803</v>
      </c>
      <c r="B155" s="37">
        <v>22120</v>
      </c>
      <c r="D155" s="34">
        <v>44340</v>
      </c>
      <c r="E155">
        <f t="shared" si="7"/>
        <v>24960</v>
      </c>
      <c r="G155" s="34">
        <v>44340</v>
      </c>
      <c r="H155" s="34" t="b">
        <f t="shared" si="8"/>
        <v>1</v>
      </c>
      <c r="L155" s="2"/>
    </row>
    <row r="156" spans="1:12" ht="29.25" customHeight="1" x14ac:dyDescent="0.3">
      <c r="A156" s="38">
        <v>43810</v>
      </c>
      <c r="B156" s="37">
        <v>21365</v>
      </c>
      <c r="D156" s="34">
        <v>44341</v>
      </c>
      <c r="E156">
        <f t="shared" si="7"/>
        <v>24960</v>
      </c>
      <c r="G156" s="34">
        <v>44341</v>
      </c>
      <c r="H156" s="34" t="b">
        <f t="shared" si="8"/>
        <v>1</v>
      </c>
      <c r="L156" s="2"/>
    </row>
    <row r="157" spans="1:12" ht="29.25" customHeight="1" x14ac:dyDescent="0.3">
      <c r="A157" s="38">
        <v>43817</v>
      </c>
      <c r="B157" s="37">
        <v>19720</v>
      </c>
      <c r="D157" s="34">
        <v>44342</v>
      </c>
      <c r="E157">
        <f t="shared" si="7"/>
        <v>22875</v>
      </c>
      <c r="G157" s="34">
        <v>44342</v>
      </c>
      <c r="H157" s="34" t="b">
        <f t="shared" si="8"/>
        <v>1</v>
      </c>
      <c r="L157" s="2"/>
    </row>
    <row r="158" spans="1:12" ht="29.25" customHeight="1" x14ac:dyDescent="0.3">
      <c r="A158" s="38">
        <v>43824</v>
      </c>
      <c r="B158" s="37">
        <v>20239</v>
      </c>
      <c r="D158" s="34">
        <v>44343</v>
      </c>
      <c r="E158">
        <f t="shared" si="7"/>
        <v>22875</v>
      </c>
      <c r="G158" s="34">
        <v>44343</v>
      </c>
      <c r="H158" s="34" t="b">
        <f t="shared" si="8"/>
        <v>1</v>
      </c>
      <c r="L158" s="2"/>
    </row>
    <row r="159" spans="1:12" ht="29.25" customHeight="1" x14ac:dyDescent="0.3">
      <c r="A159" s="38">
        <v>43831</v>
      </c>
      <c r="B159" s="37">
        <v>20475</v>
      </c>
      <c r="D159" s="34">
        <v>44344</v>
      </c>
      <c r="E159">
        <f t="shared" si="7"/>
        <v>22875</v>
      </c>
      <c r="G159" s="34">
        <v>44344</v>
      </c>
      <c r="H159" s="34" t="b">
        <f t="shared" si="8"/>
        <v>1</v>
      </c>
      <c r="L159" s="2"/>
    </row>
    <row r="160" spans="1:12" ht="29.25" customHeight="1" x14ac:dyDescent="0.3">
      <c r="A160" s="38">
        <v>43838</v>
      </c>
      <c r="B160" s="37">
        <v>21902</v>
      </c>
      <c r="D160" s="34">
        <v>44347</v>
      </c>
      <c r="E160">
        <f t="shared" si="7"/>
        <v>22875</v>
      </c>
      <c r="G160" s="34">
        <v>44347</v>
      </c>
      <c r="H160" s="34" t="b">
        <f t="shared" si="8"/>
        <v>1</v>
      </c>
      <c r="L160" s="2"/>
    </row>
    <row r="161" spans="1:12" ht="29.25" customHeight="1" x14ac:dyDescent="0.3">
      <c r="A161" s="38">
        <v>43845</v>
      </c>
      <c r="B161" s="37">
        <v>22733</v>
      </c>
      <c r="D161" s="34">
        <v>44348</v>
      </c>
      <c r="E161">
        <f t="shared" si="7"/>
        <v>22875</v>
      </c>
      <c r="G161" s="34">
        <v>44348</v>
      </c>
      <c r="H161" s="34" t="b">
        <f t="shared" si="8"/>
        <v>1</v>
      </c>
      <c r="L161" s="2"/>
    </row>
    <row r="162" spans="1:12" ht="29.25" customHeight="1" x14ac:dyDescent="0.3">
      <c r="A162" s="38">
        <v>43852</v>
      </c>
      <c r="B162" s="37">
        <v>22818</v>
      </c>
      <c r="D162" s="34">
        <v>44349</v>
      </c>
      <c r="E162">
        <f t="shared" si="7"/>
        <v>25594</v>
      </c>
      <c r="G162" s="34">
        <v>44349</v>
      </c>
      <c r="H162" s="34" t="b">
        <f t="shared" si="8"/>
        <v>1</v>
      </c>
      <c r="L162" s="2"/>
    </row>
    <row r="163" spans="1:12" ht="29.25" customHeight="1" x14ac:dyDescent="0.3">
      <c r="A163" s="38">
        <v>43859</v>
      </c>
      <c r="B163" s="37">
        <v>23555</v>
      </c>
      <c r="D163" s="34">
        <v>44350</v>
      </c>
      <c r="E163">
        <f t="shared" si="7"/>
        <v>25594</v>
      </c>
      <c r="G163" s="34">
        <v>44350</v>
      </c>
      <c r="H163" s="34" t="b">
        <f t="shared" si="8"/>
        <v>1</v>
      </c>
      <c r="L163" s="2"/>
    </row>
    <row r="164" spans="1:12" ht="29.25" customHeight="1" x14ac:dyDescent="0.3">
      <c r="A164" s="38">
        <v>43866</v>
      </c>
      <c r="B164" s="37">
        <v>21685</v>
      </c>
      <c r="D164" s="34">
        <v>44351</v>
      </c>
      <c r="E164">
        <f t="shared" si="7"/>
        <v>25594</v>
      </c>
      <c r="G164" s="34">
        <v>44351</v>
      </c>
      <c r="H164" s="34" t="b">
        <f t="shared" si="8"/>
        <v>1</v>
      </c>
      <c r="L164" s="2"/>
    </row>
    <row r="165" spans="1:12" ht="29.25" customHeight="1" x14ac:dyDescent="0.3">
      <c r="A165" s="38">
        <v>43873</v>
      </c>
      <c r="B165" s="37">
        <v>22062</v>
      </c>
      <c r="D165" s="34">
        <v>44354</v>
      </c>
      <c r="E165">
        <f t="shared" si="7"/>
        <v>25594</v>
      </c>
      <c r="G165" s="34">
        <v>44354</v>
      </c>
      <c r="H165" s="34" t="b">
        <f t="shared" si="8"/>
        <v>1</v>
      </c>
      <c r="L165" s="2"/>
    </row>
    <row r="166" spans="1:12" ht="29.25" customHeight="1" x14ac:dyDescent="0.3">
      <c r="A166" s="38">
        <v>43880</v>
      </c>
      <c r="B166" s="37">
        <v>24231</v>
      </c>
      <c r="D166" s="34">
        <v>44355</v>
      </c>
      <c r="E166">
        <f t="shared" si="7"/>
        <v>25594</v>
      </c>
      <c r="G166" s="34">
        <v>44355</v>
      </c>
      <c r="H166" s="34" t="b">
        <f t="shared" si="8"/>
        <v>1</v>
      </c>
      <c r="L166" s="2"/>
    </row>
    <row r="167" spans="1:12" ht="29.25" customHeight="1" x14ac:dyDescent="0.3">
      <c r="A167" s="38">
        <v>43887</v>
      </c>
      <c r="B167" s="37">
        <v>24971</v>
      </c>
      <c r="D167" s="34">
        <v>44356</v>
      </c>
      <c r="E167">
        <f t="shared" si="7"/>
        <v>26900</v>
      </c>
      <c r="G167" s="34">
        <v>44356</v>
      </c>
      <c r="H167" s="34" t="b">
        <f t="shared" si="8"/>
        <v>1</v>
      </c>
      <c r="L167" s="2"/>
    </row>
    <row r="168" spans="1:12" ht="29.25" customHeight="1" x14ac:dyDescent="0.3">
      <c r="A168" s="38">
        <v>43894</v>
      </c>
      <c r="B168" s="37">
        <v>26118</v>
      </c>
      <c r="D168" s="34">
        <v>44357</v>
      </c>
      <c r="E168">
        <f t="shared" si="7"/>
        <v>26900</v>
      </c>
      <c r="G168" s="34">
        <v>44357</v>
      </c>
      <c r="H168" s="34" t="b">
        <f t="shared" si="8"/>
        <v>1</v>
      </c>
      <c r="L168" s="2"/>
    </row>
    <row r="169" spans="1:12" ht="29.25" customHeight="1" x14ac:dyDescent="0.3">
      <c r="A169" s="38">
        <v>43901</v>
      </c>
      <c r="B169" s="37">
        <v>24981</v>
      </c>
      <c r="D169" s="34">
        <v>44358</v>
      </c>
      <c r="E169">
        <f t="shared" si="7"/>
        <v>26900</v>
      </c>
      <c r="G169" s="34">
        <v>44358</v>
      </c>
      <c r="H169" s="34" t="b">
        <f t="shared" si="8"/>
        <v>1</v>
      </c>
      <c r="L169" s="2"/>
    </row>
    <row r="170" spans="1:12" ht="29.25" customHeight="1" x14ac:dyDescent="0.3">
      <c r="A170" s="38">
        <v>43908</v>
      </c>
      <c r="B170" s="37">
        <v>25277</v>
      </c>
      <c r="D170" s="34">
        <v>44361</v>
      </c>
      <c r="E170">
        <f t="shared" si="7"/>
        <v>26900</v>
      </c>
      <c r="G170" s="34">
        <v>44361</v>
      </c>
      <c r="H170" s="34" t="b">
        <f t="shared" si="8"/>
        <v>1</v>
      </c>
      <c r="L170" s="2"/>
    </row>
    <row r="171" spans="1:12" ht="29.25" customHeight="1" x14ac:dyDescent="0.3">
      <c r="A171" s="38">
        <v>43915</v>
      </c>
      <c r="B171" s="37">
        <v>24783</v>
      </c>
      <c r="D171" s="34">
        <v>44362</v>
      </c>
      <c r="E171">
        <f t="shared" si="7"/>
        <v>26900</v>
      </c>
      <c r="G171" s="34">
        <v>44362</v>
      </c>
      <c r="H171" s="34" t="b">
        <f t="shared" si="8"/>
        <v>1</v>
      </c>
      <c r="L171" s="2"/>
    </row>
    <row r="172" spans="1:12" ht="29.25" customHeight="1" x14ac:dyDescent="0.3">
      <c r="A172" s="38">
        <v>43922</v>
      </c>
      <c r="B172" s="37">
        <v>24229</v>
      </c>
      <c r="D172" s="34">
        <v>44363</v>
      </c>
      <c r="E172">
        <f t="shared" si="7"/>
        <v>23977</v>
      </c>
      <c r="G172" s="34">
        <v>44363</v>
      </c>
      <c r="H172" s="34" t="b">
        <f t="shared" si="8"/>
        <v>1</v>
      </c>
      <c r="L172" s="2"/>
    </row>
    <row r="173" spans="1:12" ht="29.25" customHeight="1" x14ac:dyDescent="0.3">
      <c r="A173" s="38">
        <v>43929</v>
      </c>
      <c r="B173" s="37">
        <v>23032</v>
      </c>
      <c r="D173" s="34">
        <v>44364</v>
      </c>
      <c r="E173">
        <f t="shared" si="7"/>
        <v>23977</v>
      </c>
      <c r="G173" s="34">
        <v>44364</v>
      </c>
      <c r="H173" s="34" t="b">
        <f t="shared" si="8"/>
        <v>1</v>
      </c>
      <c r="L173" s="2"/>
    </row>
    <row r="174" spans="1:12" ht="29.25" customHeight="1" x14ac:dyDescent="0.3">
      <c r="A174" s="38">
        <v>43936</v>
      </c>
      <c r="B174" s="37">
        <v>24541</v>
      </c>
      <c r="D174" s="34">
        <v>44365</v>
      </c>
      <c r="E174">
        <f t="shared" si="7"/>
        <v>23977</v>
      </c>
      <c r="G174" s="34">
        <v>44365</v>
      </c>
      <c r="H174" s="34" t="b">
        <f t="shared" si="8"/>
        <v>1</v>
      </c>
      <c r="L174" s="2"/>
    </row>
    <row r="175" spans="1:12" ht="29.25" customHeight="1" x14ac:dyDescent="0.3">
      <c r="A175" s="38">
        <v>43943</v>
      </c>
      <c r="B175" s="37">
        <v>22329</v>
      </c>
      <c r="D175" s="34">
        <v>44368</v>
      </c>
      <c r="E175">
        <f t="shared" si="7"/>
        <v>23977</v>
      </c>
      <c r="G175" s="34">
        <v>44368</v>
      </c>
      <c r="H175" s="34" t="b">
        <f t="shared" si="8"/>
        <v>1</v>
      </c>
      <c r="L175" s="2"/>
    </row>
    <row r="176" spans="1:12" ht="29.25" customHeight="1" x14ac:dyDescent="0.3">
      <c r="A176" s="38">
        <v>43950</v>
      </c>
      <c r="B176" s="37">
        <v>22204</v>
      </c>
      <c r="D176" s="34">
        <v>44369</v>
      </c>
      <c r="E176">
        <f t="shared" si="7"/>
        <v>23977</v>
      </c>
      <c r="G176" s="34">
        <v>44369</v>
      </c>
      <c r="H176" s="34" t="b">
        <f t="shared" si="8"/>
        <v>1</v>
      </c>
      <c r="L176" s="2"/>
    </row>
    <row r="177" spans="1:12" ht="29.25" customHeight="1" x14ac:dyDescent="0.3">
      <c r="A177" s="38">
        <v>43956</v>
      </c>
      <c r="B177" s="37">
        <v>24136</v>
      </c>
      <c r="D177" s="34">
        <v>44370</v>
      </c>
      <c r="E177">
        <f t="shared" si="7"/>
        <v>23403</v>
      </c>
      <c r="G177" s="34">
        <v>44370</v>
      </c>
      <c r="H177" s="34" t="b">
        <f t="shared" si="8"/>
        <v>1</v>
      </c>
      <c r="L177" s="2"/>
    </row>
    <row r="178" spans="1:12" ht="29.25" customHeight="1" x14ac:dyDescent="0.3">
      <c r="A178" s="38">
        <v>43964</v>
      </c>
      <c r="B178" s="37">
        <v>24987</v>
      </c>
      <c r="D178" s="34">
        <v>44371</v>
      </c>
      <c r="E178">
        <f t="shared" si="7"/>
        <v>23403</v>
      </c>
      <c r="G178" s="34">
        <v>44371</v>
      </c>
      <c r="H178" s="34" t="b">
        <f t="shared" si="8"/>
        <v>1</v>
      </c>
      <c r="L178" s="2"/>
    </row>
    <row r="179" spans="1:12" ht="29.25" customHeight="1" x14ac:dyDescent="0.3">
      <c r="A179" s="38">
        <v>43971</v>
      </c>
      <c r="B179" s="37">
        <v>26172</v>
      </c>
      <c r="D179" s="34">
        <v>44372</v>
      </c>
      <c r="E179">
        <f t="shared" si="7"/>
        <v>23403</v>
      </c>
      <c r="G179" s="34">
        <v>44372</v>
      </c>
      <c r="H179" s="34" t="b">
        <f t="shared" si="8"/>
        <v>1</v>
      </c>
      <c r="L179" s="2"/>
    </row>
    <row r="180" spans="1:12" ht="29.25" customHeight="1" x14ac:dyDescent="0.3">
      <c r="A180" s="38">
        <v>43978</v>
      </c>
      <c r="B180" s="37">
        <v>25597</v>
      </c>
      <c r="D180" s="34">
        <v>44375</v>
      </c>
      <c r="E180">
        <f t="shared" si="7"/>
        <v>23403</v>
      </c>
      <c r="G180" s="34">
        <v>44375</v>
      </c>
      <c r="H180" s="34" t="b">
        <f t="shared" si="8"/>
        <v>1</v>
      </c>
      <c r="L180" s="2"/>
    </row>
    <row r="181" spans="1:12" ht="29.25" customHeight="1" x14ac:dyDescent="0.3">
      <c r="A181" s="38">
        <v>43985</v>
      </c>
      <c r="B181" s="37">
        <v>25685</v>
      </c>
      <c r="D181" s="34">
        <v>44376</v>
      </c>
      <c r="E181">
        <f t="shared" si="7"/>
        <v>23403</v>
      </c>
      <c r="G181" s="34">
        <v>44376</v>
      </c>
      <c r="H181" s="34" t="b">
        <f t="shared" si="8"/>
        <v>1</v>
      </c>
      <c r="L181" s="2"/>
    </row>
    <row r="182" spans="1:12" ht="29.25" customHeight="1" x14ac:dyDescent="0.3">
      <c r="A182" s="38">
        <v>43992</v>
      </c>
      <c r="B182" s="37">
        <v>25687</v>
      </c>
      <c r="D182" s="34">
        <v>44377</v>
      </c>
      <c r="E182">
        <f t="shared" si="7"/>
        <v>23950</v>
      </c>
      <c r="G182" s="34">
        <v>44377</v>
      </c>
      <c r="H182" s="34" t="b">
        <f t="shared" si="8"/>
        <v>1</v>
      </c>
      <c r="L182" s="2"/>
    </row>
    <row r="183" spans="1:12" ht="29.25" customHeight="1" x14ac:dyDescent="0.3">
      <c r="A183" s="38">
        <v>43999</v>
      </c>
      <c r="B183" s="37">
        <v>26630</v>
      </c>
      <c r="D183" s="34">
        <v>44378</v>
      </c>
      <c r="E183">
        <f t="shared" si="7"/>
        <v>23950</v>
      </c>
      <c r="G183" s="34">
        <v>44378</v>
      </c>
      <c r="H183" s="34" t="b">
        <f t="shared" si="8"/>
        <v>1</v>
      </c>
      <c r="L183" s="2"/>
    </row>
    <row r="184" spans="1:12" ht="29.25" customHeight="1" x14ac:dyDescent="0.3">
      <c r="A184" s="38">
        <v>44006</v>
      </c>
      <c r="B184" s="37">
        <v>26596</v>
      </c>
      <c r="D184" s="34">
        <v>44379</v>
      </c>
      <c r="E184">
        <f t="shared" si="7"/>
        <v>23950</v>
      </c>
      <c r="G184" s="34">
        <v>44379</v>
      </c>
      <c r="H184" s="34" t="b">
        <f t="shared" si="8"/>
        <v>1</v>
      </c>
      <c r="L184" s="2"/>
    </row>
    <row r="185" spans="1:12" ht="29.25" customHeight="1" x14ac:dyDescent="0.3">
      <c r="A185" s="38">
        <v>44013</v>
      </c>
      <c r="B185" s="37">
        <v>25123</v>
      </c>
      <c r="D185" s="34">
        <v>44382</v>
      </c>
      <c r="E185">
        <f t="shared" si="7"/>
        <v>23950</v>
      </c>
      <c r="G185" s="34">
        <v>44382</v>
      </c>
      <c r="H185" s="34" t="b">
        <f t="shared" si="8"/>
        <v>1</v>
      </c>
      <c r="L185" s="2"/>
    </row>
    <row r="186" spans="1:12" ht="29.25" customHeight="1" x14ac:dyDescent="0.3">
      <c r="A186" s="38">
        <v>44020</v>
      </c>
      <c r="B186" s="37">
        <v>26666</v>
      </c>
      <c r="D186" s="34">
        <v>44383</v>
      </c>
      <c r="E186">
        <f t="shared" si="7"/>
        <v>23950</v>
      </c>
      <c r="G186" s="34">
        <v>44383</v>
      </c>
      <c r="H186" s="34" t="b">
        <f t="shared" si="8"/>
        <v>1</v>
      </c>
      <c r="L186" s="2"/>
    </row>
    <row r="187" spans="1:12" ht="29.25" customHeight="1" x14ac:dyDescent="0.3">
      <c r="A187" s="38">
        <v>44027</v>
      </c>
      <c r="B187" s="37">
        <v>26110</v>
      </c>
      <c r="D187" s="34">
        <v>44384</v>
      </c>
      <c r="E187">
        <f t="shared" si="7"/>
        <v>22821</v>
      </c>
      <c r="G187" s="34">
        <v>44384</v>
      </c>
      <c r="H187" s="34" t="b">
        <f t="shared" si="8"/>
        <v>1</v>
      </c>
      <c r="L187" s="2"/>
    </row>
    <row r="188" spans="1:12" ht="29.25" customHeight="1" x14ac:dyDescent="0.3">
      <c r="A188" s="38">
        <v>44034</v>
      </c>
      <c r="B188" s="37">
        <v>23505</v>
      </c>
      <c r="D188" s="34">
        <v>44385</v>
      </c>
      <c r="E188">
        <f t="shared" si="7"/>
        <v>22821</v>
      </c>
      <c r="G188" s="34">
        <v>44385</v>
      </c>
      <c r="H188" s="34" t="b">
        <f t="shared" si="8"/>
        <v>1</v>
      </c>
      <c r="L188" s="2"/>
    </row>
    <row r="189" spans="1:12" ht="29.25" customHeight="1" x14ac:dyDescent="0.3">
      <c r="A189" s="38">
        <v>44041</v>
      </c>
      <c r="B189" s="37">
        <v>23592</v>
      </c>
      <c r="D189" s="34">
        <v>44386</v>
      </c>
      <c r="E189">
        <f t="shared" si="7"/>
        <v>22821</v>
      </c>
      <c r="G189" s="34">
        <v>44386</v>
      </c>
      <c r="H189" s="34" t="b">
        <f t="shared" si="8"/>
        <v>1</v>
      </c>
      <c r="L189" s="2"/>
    </row>
    <row r="190" spans="1:12" ht="29.25" customHeight="1" x14ac:dyDescent="0.3">
      <c r="A190" s="38">
        <v>44048</v>
      </c>
      <c r="B190" s="37">
        <v>24234</v>
      </c>
      <c r="D190" s="34">
        <v>44389</v>
      </c>
      <c r="E190">
        <f t="shared" si="7"/>
        <v>22821</v>
      </c>
      <c r="G190" s="34">
        <v>44389</v>
      </c>
      <c r="H190" s="34" t="b">
        <f t="shared" si="8"/>
        <v>1</v>
      </c>
      <c r="L190" s="2"/>
    </row>
    <row r="191" spans="1:12" ht="29.25" customHeight="1" x14ac:dyDescent="0.3">
      <c r="A191" s="38">
        <v>44055</v>
      </c>
      <c r="B191" s="37">
        <v>23817</v>
      </c>
      <c r="D191" s="34">
        <v>44390</v>
      </c>
      <c r="E191">
        <f t="shared" si="7"/>
        <v>22821</v>
      </c>
      <c r="G191" s="34">
        <v>44390</v>
      </c>
      <c r="H191" s="34" t="b">
        <f t="shared" si="8"/>
        <v>1</v>
      </c>
      <c r="L191" s="2"/>
    </row>
    <row r="192" spans="1:12" ht="29.25" customHeight="1" x14ac:dyDescent="0.3">
      <c r="A192" s="38">
        <v>44062</v>
      </c>
      <c r="B192" s="37">
        <v>25485</v>
      </c>
      <c r="D192" s="34">
        <v>44391</v>
      </c>
      <c r="E192">
        <f t="shared" si="7"/>
        <v>23088</v>
      </c>
      <c r="G192" s="34">
        <v>44391</v>
      </c>
      <c r="H192" s="34" t="b">
        <f t="shared" si="8"/>
        <v>1</v>
      </c>
      <c r="L192" s="2"/>
    </row>
    <row r="193" spans="1:12" ht="29.25" customHeight="1" x14ac:dyDescent="0.3">
      <c r="A193" s="38">
        <v>44069</v>
      </c>
      <c r="B193" s="37">
        <v>23131</v>
      </c>
      <c r="D193" s="34">
        <v>44392</v>
      </c>
      <c r="E193">
        <f t="shared" si="7"/>
        <v>23088</v>
      </c>
      <c r="G193" s="34">
        <v>44392</v>
      </c>
      <c r="H193" s="34" t="b">
        <f t="shared" si="8"/>
        <v>1</v>
      </c>
      <c r="L193" s="2"/>
    </row>
    <row r="194" spans="1:12" ht="29.25" customHeight="1" x14ac:dyDescent="0.3">
      <c r="A194" s="38">
        <v>44076</v>
      </c>
      <c r="B194" s="37">
        <v>22195</v>
      </c>
      <c r="D194" s="34">
        <v>44393</v>
      </c>
      <c r="E194">
        <f t="shared" si="7"/>
        <v>23088</v>
      </c>
      <c r="G194" s="34">
        <v>44393</v>
      </c>
      <c r="H194" s="34" t="b">
        <f t="shared" si="8"/>
        <v>1</v>
      </c>
      <c r="L194" s="2"/>
    </row>
    <row r="195" spans="1:12" ht="29.25" customHeight="1" x14ac:dyDescent="0.3">
      <c r="A195" s="38">
        <v>44083</v>
      </c>
      <c r="B195" s="37">
        <v>20735</v>
      </c>
      <c r="D195" s="34">
        <v>44396</v>
      </c>
      <c r="E195">
        <f t="shared" ref="E195:E258" si="9">LOOKUP(D195,A:A,B:B)</f>
        <v>23088</v>
      </c>
      <c r="G195" s="34">
        <v>44396</v>
      </c>
      <c r="H195" s="34" t="b">
        <f t="shared" ref="H195:H258" si="10">G195=D195</f>
        <v>1</v>
      </c>
      <c r="L195" s="2"/>
    </row>
    <row r="196" spans="1:12" ht="29.25" customHeight="1" x14ac:dyDescent="0.3">
      <c r="A196" s="38">
        <v>44090</v>
      </c>
      <c r="B196" s="37">
        <v>21310</v>
      </c>
      <c r="D196" s="34">
        <v>44397</v>
      </c>
      <c r="E196">
        <f t="shared" si="9"/>
        <v>23088</v>
      </c>
      <c r="G196" s="34">
        <v>44397</v>
      </c>
      <c r="H196" s="34" t="b">
        <f t="shared" si="10"/>
        <v>1</v>
      </c>
      <c r="L196" s="2"/>
    </row>
    <row r="197" spans="1:12" ht="29.25" customHeight="1" x14ac:dyDescent="0.3">
      <c r="A197" s="38">
        <v>44097</v>
      </c>
      <c r="B197" s="37">
        <v>23633</v>
      </c>
      <c r="D197" s="34">
        <v>44398</v>
      </c>
      <c r="E197">
        <f t="shared" si="9"/>
        <v>24434</v>
      </c>
      <c r="G197" s="34">
        <v>44398</v>
      </c>
      <c r="H197" s="34" t="b">
        <f t="shared" si="10"/>
        <v>1</v>
      </c>
      <c r="L197" s="2"/>
    </row>
    <row r="198" spans="1:12" ht="29.25" customHeight="1" x14ac:dyDescent="0.3">
      <c r="A198" s="38">
        <v>44104</v>
      </c>
      <c r="B198" s="37">
        <v>24047</v>
      </c>
      <c r="D198" s="34">
        <v>44399</v>
      </c>
      <c r="E198">
        <f t="shared" si="9"/>
        <v>24434</v>
      </c>
      <c r="G198" s="34">
        <v>44399</v>
      </c>
      <c r="H198" s="34" t="b">
        <f t="shared" si="10"/>
        <v>1</v>
      </c>
      <c r="L198" s="2"/>
    </row>
    <row r="199" spans="1:12" ht="29.25" customHeight="1" x14ac:dyDescent="0.3">
      <c r="A199" s="38">
        <v>44111</v>
      </c>
      <c r="B199" s="37">
        <v>24237</v>
      </c>
      <c r="D199" s="34">
        <v>44400</v>
      </c>
      <c r="E199">
        <f t="shared" si="9"/>
        <v>24434</v>
      </c>
      <c r="G199" s="34">
        <v>44400</v>
      </c>
      <c r="H199" s="34" t="b">
        <f t="shared" si="10"/>
        <v>1</v>
      </c>
      <c r="L199" s="2"/>
    </row>
    <row r="200" spans="1:12" ht="29.25" customHeight="1" x14ac:dyDescent="0.3">
      <c r="A200" s="38">
        <v>44118</v>
      </c>
      <c r="B200" s="37">
        <v>24652</v>
      </c>
      <c r="D200" s="34">
        <v>44403</v>
      </c>
      <c r="E200">
        <f t="shared" si="9"/>
        <v>24434</v>
      </c>
      <c r="G200" s="34">
        <v>44403</v>
      </c>
      <c r="H200" s="34" t="b">
        <f t="shared" si="10"/>
        <v>1</v>
      </c>
      <c r="L200" s="2"/>
    </row>
    <row r="201" spans="1:12" ht="29.25" customHeight="1" x14ac:dyDescent="0.3">
      <c r="A201" s="38">
        <v>44125</v>
      </c>
      <c r="B201" s="37">
        <v>24317</v>
      </c>
      <c r="D201" s="34">
        <v>44404</v>
      </c>
      <c r="E201">
        <f t="shared" si="9"/>
        <v>24434</v>
      </c>
      <c r="G201" s="34">
        <v>44404</v>
      </c>
      <c r="H201" s="34" t="b">
        <f t="shared" si="10"/>
        <v>1</v>
      </c>
      <c r="L201" s="2"/>
    </row>
    <row r="202" spans="1:12" ht="29.25" customHeight="1" x14ac:dyDescent="0.3">
      <c r="A202" s="38">
        <v>44132</v>
      </c>
      <c r="B202" s="37">
        <v>23216</v>
      </c>
      <c r="D202" s="34">
        <v>44405</v>
      </c>
      <c r="E202">
        <f t="shared" si="9"/>
        <v>22904</v>
      </c>
      <c r="G202" s="34">
        <v>44405</v>
      </c>
      <c r="H202" s="34" t="b">
        <f t="shared" si="10"/>
        <v>1</v>
      </c>
      <c r="L202" s="2"/>
    </row>
    <row r="203" spans="1:12" ht="29.25" customHeight="1" x14ac:dyDescent="0.3">
      <c r="A203" s="38">
        <v>44139</v>
      </c>
      <c r="B203" s="37">
        <v>23228</v>
      </c>
      <c r="D203" s="34">
        <v>44406</v>
      </c>
      <c r="E203">
        <f t="shared" si="9"/>
        <v>22904</v>
      </c>
      <c r="G203" s="34">
        <v>44406</v>
      </c>
      <c r="H203" s="34" t="b">
        <f t="shared" si="10"/>
        <v>1</v>
      </c>
      <c r="L203" s="2"/>
    </row>
    <row r="204" spans="1:12" ht="29.25" customHeight="1" x14ac:dyDescent="0.3">
      <c r="A204" s="38">
        <v>44146</v>
      </c>
      <c r="B204" s="37">
        <v>23046</v>
      </c>
      <c r="D204" s="34">
        <v>44407</v>
      </c>
      <c r="E204">
        <f t="shared" si="9"/>
        <v>22904</v>
      </c>
      <c r="G204" s="34">
        <v>44407</v>
      </c>
      <c r="H204" s="34" t="b">
        <f t="shared" si="10"/>
        <v>1</v>
      </c>
      <c r="L204" s="2"/>
    </row>
    <row r="205" spans="1:12" ht="29.25" customHeight="1" x14ac:dyDescent="0.3">
      <c r="A205" s="38">
        <v>44153</v>
      </c>
      <c r="B205" s="37">
        <v>22002</v>
      </c>
      <c r="D205" s="34">
        <v>44410</v>
      </c>
      <c r="E205">
        <f t="shared" si="9"/>
        <v>22904</v>
      </c>
      <c r="G205" s="34">
        <v>44410</v>
      </c>
      <c r="H205" s="34" t="b">
        <f t="shared" si="10"/>
        <v>1</v>
      </c>
      <c r="L205" s="2"/>
    </row>
    <row r="206" spans="1:12" ht="29.25" customHeight="1" x14ac:dyDescent="0.3">
      <c r="A206" s="38">
        <v>44160</v>
      </c>
      <c r="B206" s="37">
        <v>24038</v>
      </c>
      <c r="D206" s="34">
        <v>44411</v>
      </c>
      <c r="E206">
        <f t="shared" si="9"/>
        <v>22904</v>
      </c>
      <c r="G206" s="34">
        <v>44411</v>
      </c>
      <c r="H206" s="34" t="b">
        <f t="shared" si="10"/>
        <v>1</v>
      </c>
      <c r="L206" s="2"/>
    </row>
    <row r="207" spans="1:12" ht="29.25" customHeight="1" x14ac:dyDescent="0.3">
      <c r="A207" s="38">
        <v>44167</v>
      </c>
      <c r="B207" s="37">
        <v>25751</v>
      </c>
      <c r="D207" s="34">
        <v>44412</v>
      </c>
      <c r="E207">
        <f t="shared" si="9"/>
        <v>22438</v>
      </c>
      <c r="G207" s="34">
        <v>44412</v>
      </c>
      <c r="H207" s="34" t="b">
        <f t="shared" si="10"/>
        <v>1</v>
      </c>
      <c r="L207" s="2"/>
    </row>
    <row r="208" spans="1:12" ht="29.25" customHeight="1" x14ac:dyDescent="0.3">
      <c r="A208" s="38">
        <v>44174</v>
      </c>
      <c r="B208" s="37">
        <v>22361</v>
      </c>
      <c r="D208" s="34">
        <v>44413</v>
      </c>
      <c r="E208">
        <f t="shared" si="9"/>
        <v>22438</v>
      </c>
      <c r="G208" s="34">
        <v>44413</v>
      </c>
      <c r="H208" s="34" t="b">
        <f t="shared" si="10"/>
        <v>1</v>
      </c>
      <c r="L208" s="2"/>
    </row>
    <row r="209" spans="1:12" ht="29.25" customHeight="1" x14ac:dyDescent="0.3">
      <c r="A209" s="38">
        <v>44181</v>
      </c>
      <c r="B209" s="37">
        <v>22829</v>
      </c>
      <c r="D209" s="34">
        <v>44414</v>
      </c>
      <c r="E209">
        <f t="shared" si="9"/>
        <v>22438</v>
      </c>
      <c r="G209" s="34">
        <v>44414</v>
      </c>
      <c r="H209" s="34" t="b">
        <f t="shared" si="10"/>
        <v>1</v>
      </c>
      <c r="L209" s="2"/>
    </row>
    <row r="210" spans="1:12" ht="29.25" customHeight="1" x14ac:dyDescent="0.3">
      <c r="A210" s="38">
        <v>44188</v>
      </c>
      <c r="B210" s="37">
        <v>20394</v>
      </c>
      <c r="D210" s="34">
        <v>44417</v>
      </c>
      <c r="E210">
        <f t="shared" si="9"/>
        <v>22438</v>
      </c>
      <c r="G210" s="34">
        <v>44417</v>
      </c>
      <c r="H210" s="34" t="b">
        <f t="shared" si="10"/>
        <v>1</v>
      </c>
      <c r="L210" s="2"/>
    </row>
    <row r="211" spans="1:12" ht="29.25" customHeight="1" x14ac:dyDescent="0.3">
      <c r="A211" s="38">
        <v>44195</v>
      </c>
      <c r="B211" s="37">
        <v>21956</v>
      </c>
      <c r="D211" s="34">
        <v>44418</v>
      </c>
      <c r="E211">
        <f t="shared" si="9"/>
        <v>22438</v>
      </c>
      <c r="G211" s="34">
        <v>44418</v>
      </c>
      <c r="H211" s="34" t="b">
        <f t="shared" si="10"/>
        <v>1</v>
      </c>
      <c r="L211" s="2"/>
    </row>
    <row r="212" spans="1:12" ht="29.25" customHeight="1" x14ac:dyDescent="0.3">
      <c r="A212" s="38">
        <v>44202</v>
      </c>
      <c r="B212" s="37">
        <v>22516</v>
      </c>
      <c r="D212" s="34">
        <v>44419</v>
      </c>
      <c r="E212">
        <f t="shared" si="9"/>
        <v>22566</v>
      </c>
      <c r="G212" s="34">
        <v>44419</v>
      </c>
      <c r="H212" s="34" t="b">
        <f t="shared" si="10"/>
        <v>1</v>
      </c>
      <c r="L212" s="2"/>
    </row>
    <row r="213" spans="1:12" ht="29.25" customHeight="1" x14ac:dyDescent="0.3">
      <c r="A213" s="38">
        <v>44209</v>
      </c>
      <c r="B213" s="37">
        <v>22304</v>
      </c>
      <c r="D213" s="34">
        <v>44420</v>
      </c>
      <c r="E213">
        <f t="shared" si="9"/>
        <v>22566</v>
      </c>
      <c r="G213" s="34">
        <v>44420</v>
      </c>
      <c r="H213" s="34" t="b">
        <f t="shared" si="10"/>
        <v>1</v>
      </c>
      <c r="L213" s="2"/>
    </row>
    <row r="214" spans="1:12" ht="29.25" customHeight="1" x14ac:dyDescent="0.3">
      <c r="A214" s="38">
        <v>44216</v>
      </c>
      <c r="B214" s="37">
        <v>21999</v>
      </c>
      <c r="D214" s="34">
        <v>44421</v>
      </c>
      <c r="E214">
        <f t="shared" si="9"/>
        <v>22566</v>
      </c>
      <c r="G214" s="34">
        <v>44421</v>
      </c>
      <c r="H214" s="34" t="b">
        <f t="shared" si="10"/>
        <v>1</v>
      </c>
      <c r="L214" s="2"/>
    </row>
    <row r="215" spans="1:12" ht="29.25" customHeight="1" x14ac:dyDescent="0.3">
      <c r="A215" s="38">
        <v>44223</v>
      </c>
      <c r="B215" s="37">
        <v>20791</v>
      </c>
      <c r="D215" s="34">
        <v>44424</v>
      </c>
      <c r="E215">
        <f t="shared" si="9"/>
        <v>22566</v>
      </c>
      <c r="G215" s="34">
        <v>44424</v>
      </c>
      <c r="H215" s="34" t="b">
        <f t="shared" si="10"/>
        <v>1</v>
      </c>
      <c r="L215" s="2"/>
    </row>
    <row r="216" spans="1:12" ht="29.25" customHeight="1" x14ac:dyDescent="0.3">
      <c r="A216" s="38">
        <v>44230</v>
      </c>
      <c r="B216" s="37">
        <v>21377</v>
      </c>
      <c r="D216" s="34">
        <v>44425</v>
      </c>
      <c r="E216">
        <f t="shared" si="9"/>
        <v>22566</v>
      </c>
      <c r="G216" s="34">
        <v>44425</v>
      </c>
      <c r="H216" s="34" t="b">
        <f t="shared" si="10"/>
        <v>1</v>
      </c>
      <c r="L216" s="2"/>
    </row>
    <row r="217" spans="1:12" ht="29.25" customHeight="1" x14ac:dyDescent="0.3">
      <c r="A217" s="38">
        <v>44237</v>
      </c>
      <c r="B217" s="37">
        <v>21006</v>
      </c>
      <c r="D217" s="34">
        <v>44426</v>
      </c>
      <c r="E217">
        <f t="shared" si="9"/>
        <v>22072</v>
      </c>
      <c r="G217" s="34">
        <v>44426</v>
      </c>
      <c r="H217" s="34" t="b">
        <f t="shared" si="10"/>
        <v>1</v>
      </c>
      <c r="L217" s="2"/>
    </row>
    <row r="218" spans="1:12" ht="29.25" customHeight="1" x14ac:dyDescent="0.3">
      <c r="A218" s="38">
        <v>44244</v>
      </c>
      <c r="B218" s="37">
        <v>19379</v>
      </c>
      <c r="D218" s="34">
        <v>44427</v>
      </c>
      <c r="E218">
        <f t="shared" si="9"/>
        <v>22072</v>
      </c>
      <c r="G218" s="34">
        <v>44427</v>
      </c>
      <c r="H218" s="34" t="b">
        <f t="shared" si="10"/>
        <v>1</v>
      </c>
      <c r="L218" s="2"/>
    </row>
    <row r="219" spans="1:12" ht="29.25" customHeight="1" x14ac:dyDescent="0.3">
      <c r="A219" s="38">
        <v>44251</v>
      </c>
      <c r="B219" s="37">
        <v>20391</v>
      </c>
      <c r="D219" s="34">
        <v>44428</v>
      </c>
      <c r="E219">
        <f t="shared" si="9"/>
        <v>22072</v>
      </c>
      <c r="G219" s="34">
        <v>44428</v>
      </c>
      <c r="H219" s="34" t="b">
        <f t="shared" si="10"/>
        <v>1</v>
      </c>
      <c r="L219" s="2"/>
    </row>
    <row r="220" spans="1:12" ht="29.25" customHeight="1" x14ac:dyDescent="0.3">
      <c r="A220" s="38">
        <v>44258</v>
      </c>
      <c r="B220" s="37">
        <v>21900</v>
      </c>
      <c r="D220" s="34">
        <v>44431</v>
      </c>
      <c r="E220">
        <f t="shared" si="9"/>
        <v>22072</v>
      </c>
      <c r="G220" s="34">
        <v>44431</v>
      </c>
      <c r="H220" s="34" t="b">
        <f t="shared" si="10"/>
        <v>1</v>
      </c>
      <c r="L220" s="2"/>
    </row>
    <row r="221" spans="1:12" ht="29.25" customHeight="1" x14ac:dyDescent="0.3">
      <c r="A221" s="38">
        <v>44265</v>
      </c>
      <c r="B221" s="37">
        <v>22798</v>
      </c>
      <c r="D221" s="34">
        <v>44432</v>
      </c>
      <c r="E221">
        <f t="shared" si="9"/>
        <v>22072</v>
      </c>
      <c r="G221" s="34">
        <v>44432</v>
      </c>
      <c r="H221" s="34" t="b">
        <f t="shared" si="10"/>
        <v>1</v>
      </c>
      <c r="L221" s="2"/>
    </row>
    <row r="222" spans="1:12" ht="29.25" customHeight="1" x14ac:dyDescent="0.3">
      <c r="A222" s="38">
        <v>44272</v>
      </c>
      <c r="B222" s="37">
        <v>22849</v>
      </c>
      <c r="D222" s="34">
        <v>44433</v>
      </c>
      <c r="E222">
        <f t="shared" si="9"/>
        <v>21183</v>
      </c>
      <c r="G222" s="34">
        <v>44433</v>
      </c>
      <c r="H222" s="34" t="b">
        <f t="shared" si="10"/>
        <v>1</v>
      </c>
      <c r="L222" s="2"/>
    </row>
    <row r="223" spans="1:12" ht="29.25" customHeight="1" x14ac:dyDescent="0.3">
      <c r="A223" s="38">
        <v>44279</v>
      </c>
      <c r="B223" s="37">
        <v>22311</v>
      </c>
      <c r="D223" s="34">
        <v>44434</v>
      </c>
      <c r="E223">
        <f t="shared" si="9"/>
        <v>21183</v>
      </c>
      <c r="G223" s="34">
        <v>44434</v>
      </c>
      <c r="H223" s="34" t="b">
        <f t="shared" si="10"/>
        <v>1</v>
      </c>
      <c r="L223" s="2"/>
    </row>
    <row r="224" spans="1:12" ht="29.25" customHeight="1" x14ac:dyDescent="0.3">
      <c r="A224" s="38">
        <v>44286</v>
      </c>
      <c r="B224" s="37">
        <v>23167</v>
      </c>
      <c r="D224" s="34">
        <v>44435</v>
      </c>
      <c r="E224">
        <f t="shared" si="9"/>
        <v>21183</v>
      </c>
      <c r="G224" s="34">
        <v>44435</v>
      </c>
      <c r="H224" s="34" t="b">
        <f t="shared" si="10"/>
        <v>1</v>
      </c>
      <c r="L224" s="2"/>
    </row>
    <row r="225" spans="1:12" ht="29.25" customHeight="1" x14ac:dyDescent="0.3">
      <c r="A225" s="38">
        <v>44293</v>
      </c>
      <c r="B225" s="37">
        <v>23621</v>
      </c>
      <c r="D225" s="34">
        <v>44438</v>
      </c>
      <c r="E225">
        <f t="shared" si="9"/>
        <v>21183</v>
      </c>
      <c r="G225" s="34">
        <v>44438</v>
      </c>
      <c r="H225" s="34" t="b">
        <f t="shared" si="10"/>
        <v>1</v>
      </c>
      <c r="L225" s="2"/>
    </row>
    <row r="226" spans="1:12" ht="29.25" customHeight="1" x14ac:dyDescent="0.3">
      <c r="A226" s="38">
        <v>44300</v>
      </c>
      <c r="B226" s="37">
        <v>23958</v>
      </c>
      <c r="D226" s="34">
        <v>44439</v>
      </c>
      <c r="E226">
        <f t="shared" si="9"/>
        <v>21183</v>
      </c>
      <c r="G226" s="34">
        <v>44439</v>
      </c>
      <c r="H226" s="34" t="b">
        <f t="shared" si="10"/>
        <v>1</v>
      </c>
      <c r="L226" s="2"/>
    </row>
    <row r="227" spans="1:12" ht="29.25" customHeight="1" x14ac:dyDescent="0.3">
      <c r="A227" s="38">
        <v>44307</v>
      </c>
      <c r="B227" s="37">
        <v>24813</v>
      </c>
      <c r="D227" s="34">
        <v>44440</v>
      </c>
      <c r="E227">
        <f t="shared" si="9"/>
        <v>20700</v>
      </c>
      <c r="G227" s="34">
        <v>44440</v>
      </c>
      <c r="H227" s="34" t="b">
        <f t="shared" si="10"/>
        <v>1</v>
      </c>
      <c r="L227" s="2"/>
    </row>
    <row r="228" spans="1:12" ht="29.25" customHeight="1" x14ac:dyDescent="0.3">
      <c r="A228" s="38">
        <v>44314</v>
      </c>
      <c r="B228" s="37">
        <v>24559</v>
      </c>
      <c r="D228" s="34">
        <v>44441</v>
      </c>
      <c r="E228">
        <f t="shared" si="9"/>
        <v>20700</v>
      </c>
      <c r="G228" s="34">
        <v>44441</v>
      </c>
      <c r="H228" s="34" t="b">
        <f t="shared" si="10"/>
        <v>1</v>
      </c>
      <c r="L228" s="2"/>
    </row>
    <row r="229" spans="1:12" ht="29.25" customHeight="1" x14ac:dyDescent="0.3">
      <c r="A229" s="38">
        <v>44321</v>
      </c>
      <c r="B229" s="37">
        <v>27228</v>
      </c>
      <c r="D229" s="34">
        <v>44442</v>
      </c>
      <c r="E229">
        <f t="shared" si="9"/>
        <v>20700</v>
      </c>
      <c r="G229" s="34">
        <v>44442</v>
      </c>
      <c r="H229" s="34" t="b">
        <f t="shared" si="10"/>
        <v>1</v>
      </c>
      <c r="L229" s="2"/>
    </row>
    <row r="230" spans="1:12" ht="29.25" customHeight="1" x14ac:dyDescent="0.3">
      <c r="A230" s="38">
        <v>44327</v>
      </c>
      <c r="B230" s="37">
        <v>26400</v>
      </c>
      <c r="D230" s="34">
        <v>44445</v>
      </c>
      <c r="E230">
        <f t="shared" si="9"/>
        <v>20700</v>
      </c>
      <c r="G230" s="34">
        <v>44445</v>
      </c>
      <c r="H230" s="34" t="b">
        <f t="shared" si="10"/>
        <v>1</v>
      </c>
      <c r="L230" s="2"/>
    </row>
    <row r="231" spans="1:12" ht="29.25" customHeight="1" x14ac:dyDescent="0.3">
      <c r="A231" s="38">
        <v>44335</v>
      </c>
      <c r="B231" s="37">
        <v>24960</v>
      </c>
      <c r="D231" s="34">
        <v>44446</v>
      </c>
      <c r="E231">
        <f t="shared" si="9"/>
        <v>20700</v>
      </c>
      <c r="G231" s="34">
        <v>44446</v>
      </c>
      <c r="H231" s="34" t="b">
        <f t="shared" si="10"/>
        <v>1</v>
      </c>
      <c r="L231" s="2"/>
    </row>
    <row r="232" spans="1:12" ht="29.25" customHeight="1" x14ac:dyDescent="0.3">
      <c r="A232" s="38">
        <v>44342</v>
      </c>
      <c r="B232" s="37">
        <v>22875</v>
      </c>
      <c r="D232" s="34">
        <v>44447</v>
      </c>
      <c r="E232">
        <f t="shared" si="9"/>
        <v>24148</v>
      </c>
      <c r="G232" s="34">
        <v>44447</v>
      </c>
      <c r="H232" s="34" t="b">
        <f t="shared" si="10"/>
        <v>1</v>
      </c>
      <c r="L232" s="2"/>
    </row>
    <row r="233" spans="1:12" ht="29.25" customHeight="1" x14ac:dyDescent="0.3">
      <c r="A233" s="38">
        <v>44349</v>
      </c>
      <c r="B233" s="37">
        <v>25594</v>
      </c>
      <c r="D233" s="34">
        <v>44448</v>
      </c>
      <c r="E233">
        <f t="shared" si="9"/>
        <v>24148</v>
      </c>
      <c r="G233" s="34">
        <v>44448</v>
      </c>
      <c r="H233" s="34" t="b">
        <f t="shared" si="10"/>
        <v>1</v>
      </c>
      <c r="L233" s="2"/>
    </row>
    <row r="234" spans="1:12" ht="29.25" customHeight="1" x14ac:dyDescent="0.3">
      <c r="A234" s="38">
        <v>44356</v>
      </c>
      <c r="B234" s="37">
        <v>26900</v>
      </c>
      <c r="D234" s="34">
        <v>44449</v>
      </c>
      <c r="E234">
        <f t="shared" si="9"/>
        <v>24148</v>
      </c>
      <c r="G234" s="34">
        <v>44449</v>
      </c>
      <c r="H234" s="34" t="b">
        <f t="shared" si="10"/>
        <v>1</v>
      </c>
      <c r="L234" s="2"/>
    </row>
    <row r="235" spans="1:12" ht="29.25" customHeight="1" x14ac:dyDescent="0.3">
      <c r="A235" s="38">
        <v>44363</v>
      </c>
      <c r="B235" s="37">
        <v>23977</v>
      </c>
      <c r="D235" s="34">
        <v>44452</v>
      </c>
      <c r="E235">
        <f t="shared" si="9"/>
        <v>24148</v>
      </c>
      <c r="G235" s="34">
        <v>44452</v>
      </c>
      <c r="H235" s="34" t="b">
        <f t="shared" si="10"/>
        <v>1</v>
      </c>
      <c r="L235" s="2"/>
    </row>
    <row r="236" spans="1:12" ht="29.25" customHeight="1" x14ac:dyDescent="0.3">
      <c r="A236" s="38">
        <v>44370</v>
      </c>
      <c r="B236" s="37">
        <v>23403</v>
      </c>
      <c r="D236" s="34">
        <v>44453</v>
      </c>
      <c r="E236">
        <f t="shared" si="9"/>
        <v>24148</v>
      </c>
      <c r="G236" s="34">
        <v>44453</v>
      </c>
      <c r="H236" s="34" t="b">
        <f t="shared" si="10"/>
        <v>1</v>
      </c>
      <c r="L236" s="2"/>
    </row>
    <row r="237" spans="1:12" ht="29.25" customHeight="1" x14ac:dyDescent="0.3">
      <c r="A237" s="38">
        <v>44377</v>
      </c>
      <c r="B237" s="37">
        <v>23950</v>
      </c>
      <c r="D237" s="34">
        <v>44454</v>
      </c>
      <c r="E237">
        <f t="shared" si="9"/>
        <v>21301</v>
      </c>
      <c r="G237" s="34">
        <v>44454</v>
      </c>
      <c r="H237" s="34" t="b">
        <f t="shared" si="10"/>
        <v>1</v>
      </c>
      <c r="L237" s="2"/>
    </row>
    <row r="238" spans="1:12" ht="29.25" customHeight="1" x14ac:dyDescent="0.3">
      <c r="A238" s="38">
        <v>44384</v>
      </c>
      <c r="B238" s="37">
        <v>22821</v>
      </c>
      <c r="D238" s="34">
        <v>44455</v>
      </c>
      <c r="E238">
        <f t="shared" si="9"/>
        <v>21301</v>
      </c>
      <c r="G238" s="34">
        <v>44455</v>
      </c>
      <c r="H238" s="34" t="b">
        <f t="shared" si="10"/>
        <v>1</v>
      </c>
      <c r="L238" s="2"/>
    </row>
    <row r="239" spans="1:12" ht="29.25" customHeight="1" x14ac:dyDescent="0.3">
      <c r="A239" s="38">
        <v>44391</v>
      </c>
      <c r="B239" s="37">
        <v>23088</v>
      </c>
      <c r="D239" s="34">
        <v>44456</v>
      </c>
      <c r="E239">
        <f t="shared" si="9"/>
        <v>21301</v>
      </c>
      <c r="G239" s="34">
        <v>44456</v>
      </c>
      <c r="H239" s="34" t="b">
        <f t="shared" si="10"/>
        <v>1</v>
      </c>
      <c r="L239" s="2"/>
    </row>
    <row r="240" spans="1:12" ht="29.25" customHeight="1" x14ac:dyDescent="0.3">
      <c r="A240" s="38">
        <v>44398</v>
      </c>
      <c r="B240" s="37">
        <v>24434</v>
      </c>
      <c r="D240" s="34">
        <v>44459</v>
      </c>
      <c r="E240">
        <f t="shared" si="9"/>
        <v>21301</v>
      </c>
      <c r="G240" s="34">
        <v>44459</v>
      </c>
      <c r="H240" s="34" t="b">
        <f t="shared" si="10"/>
        <v>1</v>
      </c>
      <c r="L240" s="2"/>
    </row>
    <row r="241" spans="1:12" ht="29.25" customHeight="1" x14ac:dyDescent="0.3">
      <c r="A241" s="38">
        <v>44405</v>
      </c>
      <c r="B241" s="37">
        <v>22904</v>
      </c>
      <c r="D241" s="34">
        <v>44460</v>
      </c>
      <c r="E241">
        <f t="shared" si="9"/>
        <v>21301</v>
      </c>
      <c r="G241" s="34">
        <v>44460</v>
      </c>
      <c r="H241" s="34" t="b">
        <f t="shared" si="10"/>
        <v>1</v>
      </c>
      <c r="L241" s="2"/>
    </row>
    <row r="242" spans="1:12" ht="29.25" customHeight="1" x14ac:dyDescent="0.3">
      <c r="A242" s="38">
        <v>44412</v>
      </c>
      <c r="B242" s="37">
        <v>22438</v>
      </c>
      <c r="D242" s="34">
        <v>44461</v>
      </c>
      <c r="E242">
        <f t="shared" si="9"/>
        <v>21457</v>
      </c>
      <c r="G242" s="34">
        <v>44461</v>
      </c>
      <c r="H242" s="34" t="b">
        <f t="shared" si="10"/>
        <v>1</v>
      </c>
      <c r="L242" s="2"/>
    </row>
    <row r="243" spans="1:12" ht="29.25" customHeight="1" x14ac:dyDescent="0.3">
      <c r="A243" s="38">
        <v>44419</v>
      </c>
      <c r="B243" s="37">
        <v>22566</v>
      </c>
      <c r="D243" s="34">
        <v>44462</v>
      </c>
      <c r="E243">
        <f t="shared" si="9"/>
        <v>21457</v>
      </c>
      <c r="G243" s="34">
        <v>44462</v>
      </c>
      <c r="H243" s="34" t="b">
        <f t="shared" si="10"/>
        <v>1</v>
      </c>
      <c r="L243" s="2"/>
    </row>
    <row r="244" spans="1:12" ht="29.25" customHeight="1" x14ac:dyDescent="0.3">
      <c r="A244" s="38">
        <v>44426</v>
      </c>
      <c r="B244" s="37">
        <v>22072</v>
      </c>
      <c r="D244" s="34">
        <v>44463</v>
      </c>
      <c r="E244">
        <f t="shared" si="9"/>
        <v>21457</v>
      </c>
      <c r="G244" s="34">
        <v>44463</v>
      </c>
      <c r="H244" s="34" t="b">
        <f t="shared" si="10"/>
        <v>1</v>
      </c>
      <c r="L244" s="2"/>
    </row>
    <row r="245" spans="1:12" ht="29.25" customHeight="1" x14ac:dyDescent="0.3">
      <c r="A245" s="38">
        <v>44433</v>
      </c>
      <c r="B245" s="37">
        <v>21183</v>
      </c>
      <c r="D245" s="34">
        <v>44466</v>
      </c>
      <c r="E245">
        <f t="shared" si="9"/>
        <v>21457</v>
      </c>
      <c r="G245" s="34">
        <v>44466</v>
      </c>
      <c r="H245" s="34" t="b">
        <f t="shared" si="10"/>
        <v>1</v>
      </c>
      <c r="L245" s="2"/>
    </row>
    <row r="246" spans="1:12" ht="29.25" customHeight="1" x14ac:dyDescent="0.3">
      <c r="A246" s="38">
        <v>44440</v>
      </c>
      <c r="B246" s="37">
        <v>20700</v>
      </c>
      <c r="D246" s="34">
        <v>44467</v>
      </c>
      <c r="E246">
        <f t="shared" si="9"/>
        <v>21457</v>
      </c>
      <c r="G246" s="34">
        <v>44467</v>
      </c>
      <c r="H246" s="34" t="b">
        <f t="shared" si="10"/>
        <v>1</v>
      </c>
      <c r="L246" s="2"/>
    </row>
    <row r="247" spans="1:12" ht="29.25" customHeight="1" x14ac:dyDescent="0.3">
      <c r="A247" s="38">
        <v>44447</v>
      </c>
      <c r="B247" s="37">
        <v>24148</v>
      </c>
      <c r="D247" s="34">
        <v>44468</v>
      </c>
      <c r="E247">
        <f t="shared" si="9"/>
        <v>18730</v>
      </c>
      <c r="G247" s="34">
        <v>44468</v>
      </c>
      <c r="H247" s="34" t="b">
        <f t="shared" si="10"/>
        <v>1</v>
      </c>
      <c r="L247" s="2"/>
    </row>
    <row r="248" spans="1:12" ht="29.25" customHeight="1" x14ac:dyDescent="0.3">
      <c r="A248" s="38">
        <v>44454</v>
      </c>
      <c r="B248" s="37">
        <v>21301</v>
      </c>
      <c r="D248" s="34">
        <v>44469</v>
      </c>
      <c r="E248">
        <f t="shared" si="9"/>
        <v>18730</v>
      </c>
      <c r="G248" s="34">
        <v>44469</v>
      </c>
      <c r="H248" s="34" t="b">
        <f t="shared" si="10"/>
        <v>1</v>
      </c>
      <c r="L248" s="2"/>
    </row>
    <row r="249" spans="1:12" ht="29.25" customHeight="1" x14ac:dyDescent="0.3">
      <c r="A249" s="38">
        <v>44461</v>
      </c>
      <c r="B249" s="37">
        <v>21457</v>
      </c>
      <c r="D249" s="34">
        <v>44470</v>
      </c>
      <c r="E249">
        <f t="shared" si="9"/>
        <v>18730</v>
      </c>
      <c r="G249" s="34">
        <v>44470</v>
      </c>
      <c r="H249" s="34" t="b">
        <f t="shared" si="10"/>
        <v>1</v>
      </c>
      <c r="L249" s="2"/>
    </row>
    <row r="250" spans="1:12" ht="29.25" customHeight="1" x14ac:dyDescent="0.3">
      <c r="A250" s="38">
        <v>44468</v>
      </c>
      <c r="B250" s="37">
        <v>18730</v>
      </c>
      <c r="D250" s="34">
        <v>44473</v>
      </c>
      <c r="E250">
        <f t="shared" si="9"/>
        <v>18730</v>
      </c>
      <c r="G250" s="34">
        <v>44473</v>
      </c>
      <c r="H250" s="34" t="b">
        <f t="shared" si="10"/>
        <v>1</v>
      </c>
      <c r="L250" s="2"/>
    </row>
    <row r="251" spans="1:12" ht="29.25" customHeight="1" x14ac:dyDescent="0.3">
      <c r="A251" s="38">
        <v>44475</v>
      </c>
      <c r="B251" s="37">
        <v>20787</v>
      </c>
      <c r="D251" s="34">
        <v>44474</v>
      </c>
      <c r="E251">
        <f t="shared" si="9"/>
        <v>18730</v>
      </c>
      <c r="G251" s="34">
        <v>44474</v>
      </c>
      <c r="H251" s="34" t="b">
        <f t="shared" si="10"/>
        <v>1</v>
      </c>
      <c r="L251" s="2"/>
    </row>
    <row r="252" spans="1:12" ht="29.25" customHeight="1" x14ac:dyDescent="0.3">
      <c r="A252" s="38">
        <v>44482</v>
      </c>
      <c r="B252" s="37">
        <v>21553</v>
      </c>
      <c r="D252" s="34">
        <v>44475</v>
      </c>
      <c r="E252">
        <f t="shared" si="9"/>
        <v>20787</v>
      </c>
      <c r="G252" s="34">
        <v>44475</v>
      </c>
      <c r="H252" s="34" t="b">
        <f t="shared" si="10"/>
        <v>1</v>
      </c>
      <c r="L252" s="2"/>
    </row>
    <row r="253" spans="1:12" ht="29.25" customHeight="1" x14ac:dyDescent="0.3">
      <c r="A253" s="38">
        <v>44489</v>
      </c>
      <c r="B253" s="37">
        <v>21691</v>
      </c>
      <c r="D253" s="34">
        <v>44476</v>
      </c>
      <c r="E253">
        <f t="shared" si="9"/>
        <v>20787</v>
      </c>
      <c r="G253" s="34">
        <v>44476</v>
      </c>
      <c r="H253" s="34" t="b">
        <f t="shared" si="10"/>
        <v>1</v>
      </c>
      <c r="L253" s="2"/>
    </row>
    <row r="254" spans="1:12" ht="29.25" customHeight="1" x14ac:dyDescent="0.3">
      <c r="A254" s="38">
        <v>44496</v>
      </c>
      <c r="B254" s="37">
        <v>21800</v>
      </c>
      <c r="D254" s="34">
        <v>44477</v>
      </c>
      <c r="E254">
        <f t="shared" si="9"/>
        <v>20787</v>
      </c>
      <c r="G254" s="34">
        <v>44477</v>
      </c>
      <c r="H254" s="34" t="b">
        <f t="shared" si="10"/>
        <v>1</v>
      </c>
      <c r="L254" s="2"/>
    </row>
    <row r="255" spans="1:12" ht="29.25" customHeight="1" x14ac:dyDescent="0.3">
      <c r="A255" s="38">
        <v>44502</v>
      </c>
      <c r="B255" s="37">
        <v>22319</v>
      </c>
      <c r="D255" s="34">
        <v>44480</v>
      </c>
      <c r="E255">
        <f t="shared" si="9"/>
        <v>20787</v>
      </c>
      <c r="G255" s="34">
        <v>44480</v>
      </c>
      <c r="H255" s="34" t="b">
        <f t="shared" si="10"/>
        <v>1</v>
      </c>
      <c r="L255" s="2"/>
    </row>
    <row r="256" spans="1:12" ht="29.25" customHeight="1" x14ac:dyDescent="0.3">
      <c r="A256" s="38">
        <v>44510</v>
      </c>
      <c r="B256" s="37">
        <v>21749</v>
      </c>
      <c r="D256" s="34">
        <v>44481</v>
      </c>
      <c r="E256">
        <f t="shared" si="9"/>
        <v>20787</v>
      </c>
      <c r="G256" s="34">
        <v>44481</v>
      </c>
      <c r="H256" s="34" t="b">
        <f t="shared" si="10"/>
        <v>1</v>
      </c>
      <c r="L256" s="2"/>
    </row>
    <row r="257" spans="1:12" ht="29.25" customHeight="1" x14ac:dyDescent="0.3">
      <c r="A257" s="38">
        <v>44517</v>
      </c>
      <c r="B257" s="37">
        <v>21356</v>
      </c>
      <c r="D257" s="34">
        <v>44482</v>
      </c>
      <c r="E257">
        <f t="shared" si="9"/>
        <v>21553</v>
      </c>
      <c r="G257" s="34">
        <v>44482</v>
      </c>
      <c r="H257" s="34" t="b">
        <f t="shared" si="10"/>
        <v>1</v>
      </c>
      <c r="L257" s="2"/>
    </row>
    <row r="258" spans="1:12" ht="29.25" customHeight="1" x14ac:dyDescent="0.3">
      <c r="A258" s="38">
        <v>44524</v>
      </c>
      <c r="B258" s="37">
        <v>22903</v>
      </c>
      <c r="D258" s="34">
        <v>44483</v>
      </c>
      <c r="E258">
        <f t="shared" si="9"/>
        <v>21553</v>
      </c>
      <c r="G258" s="34">
        <v>44483</v>
      </c>
      <c r="H258" s="34" t="b">
        <f t="shared" si="10"/>
        <v>1</v>
      </c>
      <c r="L258" s="2"/>
    </row>
    <row r="259" spans="1:12" ht="29.25" customHeight="1" x14ac:dyDescent="0.3">
      <c r="A259" s="38">
        <v>44531</v>
      </c>
      <c r="B259" s="37">
        <v>19815</v>
      </c>
      <c r="D259" s="34">
        <v>44484</v>
      </c>
      <c r="E259">
        <f t="shared" ref="E259:E322" si="11">LOOKUP(D259,A:A,B:B)</f>
        <v>21553</v>
      </c>
      <c r="G259" s="34">
        <v>44484</v>
      </c>
      <c r="H259" s="34" t="b">
        <f t="shared" ref="H259:H322" si="12">G259=D259</f>
        <v>1</v>
      </c>
      <c r="L259" s="2"/>
    </row>
    <row r="260" spans="1:12" ht="29.25" customHeight="1" x14ac:dyDescent="0.3">
      <c r="A260" s="38">
        <v>44538</v>
      </c>
      <c r="B260" s="37">
        <v>20627</v>
      </c>
      <c r="D260" s="34">
        <v>44487</v>
      </c>
      <c r="E260">
        <f t="shared" si="11"/>
        <v>21553</v>
      </c>
      <c r="G260" s="34">
        <v>44487</v>
      </c>
      <c r="H260" s="34" t="b">
        <f t="shared" si="12"/>
        <v>1</v>
      </c>
      <c r="L260" s="2"/>
    </row>
    <row r="261" spans="1:12" ht="29.25" customHeight="1" x14ac:dyDescent="0.3">
      <c r="A261" s="38">
        <v>44545</v>
      </c>
      <c r="B261" s="37">
        <v>20929</v>
      </c>
      <c r="D261" s="34">
        <v>44488</v>
      </c>
      <c r="E261">
        <f t="shared" si="11"/>
        <v>21553</v>
      </c>
      <c r="G261" s="34">
        <v>44488</v>
      </c>
      <c r="H261" s="34" t="b">
        <f t="shared" si="12"/>
        <v>1</v>
      </c>
      <c r="L261" s="2"/>
    </row>
    <row r="262" spans="1:12" ht="29.25" customHeight="1" x14ac:dyDescent="0.3">
      <c r="A262" s="38">
        <v>44552</v>
      </c>
      <c r="B262" s="37">
        <v>20935</v>
      </c>
      <c r="D262" s="34">
        <v>44489</v>
      </c>
      <c r="E262">
        <f t="shared" si="11"/>
        <v>21691</v>
      </c>
      <c r="G262" s="34">
        <v>44489</v>
      </c>
      <c r="H262" s="34" t="b">
        <f t="shared" si="12"/>
        <v>1</v>
      </c>
      <c r="L262" s="2"/>
    </row>
    <row r="263" spans="1:12" ht="29.25" customHeight="1" x14ac:dyDescent="0.3">
      <c r="A263" s="38">
        <v>44559</v>
      </c>
      <c r="B263" s="37">
        <v>19564</v>
      </c>
      <c r="D263" s="34">
        <v>44490</v>
      </c>
      <c r="E263">
        <f t="shared" si="11"/>
        <v>21691</v>
      </c>
      <c r="G263" s="34">
        <v>44490</v>
      </c>
      <c r="H263" s="34" t="b">
        <f t="shared" si="12"/>
        <v>1</v>
      </c>
      <c r="L263" s="2"/>
    </row>
    <row r="264" spans="1:12" ht="29.25" customHeight="1" x14ac:dyDescent="0.3">
      <c r="A264" s="38">
        <v>44566</v>
      </c>
      <c r="B264" s="37">
        <v>21055</v>
      </c>
      <c r="D264" s="34">
        <v>44491</v>
      </c>
      <c r="E264">
        <f t="shared" si="11"/>
        <v>21691</v>
      </c>
      <c r="G264" s="34">
        <v>44491</v>
      </c>
      <c r="H264" s="34" t="b">
        <f t="shared" si="12"/>
        <v>1</v>
      </c>
      <c r="L264" s="2"/>
    </row>
    <row r="265" spans="1:12" ht="29.25" customHeight="1" x14ac:dyDescent="0.3">
      <c r="A265" s="38">
        <v>44573</v>
      </c>
      <c r="B265" s="37">
        <v>22340</v>
      </c>
      <c r="D265" s="34">
        <v>44494</v>
      </c>
      <c r="E265">
        <f t="shared" si="11"/>
        <v>21691</v>
      </c>
      <c r="G265" s="34">
        <v>44494</v>
      </c>
      <c r="H265" s="34" t="b">
        <f t="shared" si="12"/>
        <v>1</v>
      </c>
    </row>
    <row r="266" spans="1:12" ht="29.25" customHeight="1" x14ac:dyDescent="0.3">
      <c r="A266" s="38">
        <v>44580</v>
      </c>
      <c r="B266" s="37">
        <v>21199</v>
      </c>
      <c r="D266" s="34">
        <v>44495</v>
      </c>
      <c r="E266">
        <f t="shared" si="11"/>
        <v>21691</v>
      </c>
      <c r="G266" s="34">
        <v>44495</v>
      </c>
      <c r="H266" s="34" t="b">
        <f t="shared" si="12"/>
        <v>1</v>
      </c>
    </row>
    <row r="267" spans="1:12" ht="29.25" customHeight="1" x14ac:dyDescent="0.3">
      <c r="A267" s="38">
        <v>44587</v>
      </c>
      <c r="B267" s="37">
        <v>23782</v>
      </c>
      <c r="D267" s="34">
        <v>44496</v>
      </c>
      <c r="E267">
        <f t="shared" si="11"/>
        <v>21800</v>
      </c>
      <c r="G267" s="34">
        <v>44496</v>
      </c>
      <c r="H267" s="34" t="b">
        <f t="shared" si="12"/>
        <v>1</v>
      </c>
    </row>
    <row r="268" spans="1:12" ht="29.25" customHeight="1" x14ac:dyDescent="0.3">
      <c r="A268" s="38">
        <v>44594</v>
      </c>
      <c r="B268" s="37">
        <v>23085</v>
      </c>
      <c r="D268" s="34">
        <v>44497</v>
      </c>
      <c r="E268">
        <f t="shared" si="11"/>
        <v>21800</v>
      </c>
      <c r="G268" s="34">
        <v>44497</v>
      </c>
      <c r="H268" s="34" t="b">
        <f t="shared" si="12"/>
        <v>1</v>
      </c>
    </row>
    <row r="269" spans="1:12" ht="29.25" customHeight="1" x14ac:dyDescent="0.3">
      <c r="A269" s="38">
        <v>44601</v>
      </c>
      <c r="B269" s="37">
        <v>22156</v>
      </c>
      <c r="D269" s="34">
        <v>44498</v>
      </c>
      <c r="E269">
        <f t="shared" si="11"/>
        <v>21800</v>
      </c>
      <c r="G269" s="34">
        <v>44498</v>
      </c>
      <c r="H269" s="34" t="b">
        <f t="shared" si="12"/>
        <v>1</v>
      </c>
    </row>
    <row r="270" spans="1:12" ht="29.25" customHeight="1" x14ac:dyDescent="0.3">
      <c r="A270" s="38">
        <v>44608</v>
      </c>
      <c r="B270" s="37">
        <v>24128</v>
      </c>
      <c r="D270" s="34">
        <v>44501</v>
      </c>
      <c r="E270">
        <f t="shared" si="11"/>
        <v>21800</v>
      </c>
      <c r="G270" s="34">
        <v>44501</v>
      </c>
      <c r="H270" s="34" t="b">
        <f t="shared" si="12"/>
        <v>1</v>
      </c>
    </row>
    <row r="271" spans="1:12" ht="29.25" customHeight="1" x14ac:dyDescent="0.3">
      <c r="A271" s="38">
        <v>44615</v>
      </c>
      <c r="B271" s="37">
        <v>21370</v>
      </c>
      <c r="D271" s="34">
        <v>44502</v>
      </c>
      <c r="E271">
        <f t="shared" si="11"/>
        <v>22319</v>
      </c>
      <c r="G271" s="34">
        <v>44502</v>
      </c>
      <c r="H271" s="34" t="b">
        <f t="shared" si="12"/>
        <v>1</v>
      </c>
    </row>
    <row r="272" spans="1:12" ht="29.25" customHeight="1" x14ac:dyDescent="0.3">
      <c r="A272" s="38">
        <v>44622</v>
      </c>
      <c r="B272" s="37">
        <v>21738</v>
      </c>
      <c r="D272" s="34">
        <v>44503</v>
      </c>
      <c r="E272">
        <f t="shared" si="11"/>
        <v>22319</v>
      </c>
      <c r="G272" s="34">
        <v>44503</v>
      </c>
      <c r="H272" s="34" t="b">
        <f t="shared" si="12"/>
        <v>1</v>
      </c>
    </row>
    <row r="273" spans="1:8" ht="29.25" customHeight="1" x14ac:dyDescent="0.3">
      <c r="A273" s="38">
        <v>44629</v>
      </c>
      <c r="B273" s="37">
        <v>23014</v>
      </c>
      <c r="D273" s="34">
        <v>44504</v>
      </c>
      <c r="E273">
        <f t="shared" si="11"/>
        <v>22319</v>
      </c>
      <c r="G273" s="34">
        <v>44504</v>
      </c>
      <c r="H273" s="34" t="b">
        <f t="shared" si="12"/>
        <v>1</v>
      </c>
    </row>
    <row r="274" spans="1:8" ht="29.25" customHeight="1" x14ac:dyDescent="0.3">
      <c r="A274" s="38">
        <v>44636</v>
      </c>
      <c r="B274" s="37">
        <v>23355</v>
      </c>
      <c r="D274" s="34">
        <v>44505</v>
      </c>
      <c r="E274">
        <f t="shared" si="11"/>
        <v>22319</v>
      </c>
      <c r="G274" s="34">
        <v>44505</v>
      </c>
      <c r="H274" s="34" t="b">
        <f t="shared" si="12"/>
        <v>1</v>
      </c>
    </row>
    <row r="275" spans="1:8" ht="29.25" customHeight="1" x14ac:dyDescent="0.3">
      <c r="A275" s="38">
        <v>44643</v>
      </c>
      <c r="B275" s="37">
        <v>22406</v>
      </c>
      <c r="D275" s="34">
        <v>44508</v>
      </c>
      <c r="E275">
        <f t="shared" si="11"/>
        <v>22319</v>
      </c>
      <c r="G275" s="34">
        <v>44508</v>
      </c>
      <c r="H275" s="34" t="b">
        <f t="shared" si="12"/>
        <v>1</v>
      </c>
    </row>
    <row r="276" spans="1:8" ht="29.25" customHeight="1" x14ac:dyDescent="0.3">
      <c r="A276" s="38">
        <v>44650</v>
      </c>
      <c r="B276" s="37">
        <v>20937</v>
      </c>
      <c r="D276" s="34">
        <v>44509</v>
      </c>
      <c r="E276">
        <f t="shared" si="11"/>
        <v>22319</v>
      </c>
      <c r="G276" s="34">
        <v>44509</v>
      </c>
      <c r="H276" s="34" t="b">
        <f t="shared" si="12"/>
        <v>1</v>
      </c>
    </row>
    <row r="277" spans="1:8" ht="29.25" customHeight="1" x14ac:dyDescent="0.3">
      <c r="A277" s="38">
        <v>44657</v>
      </c>
      <c r="B277" s="37">
        <v>20436</v>
      </c>
      <c r="D277" s="34">
        <v>44510</v>
      </c>
      <c r="E277">
        <f t="shared" si="11"/>
        <v>21749</v>
      </c>
      <c r="G277" s="34">
        <v>44510</v>
      </c>
      <c r="H277" s="34" t="b">
        <f t="shared" si="12"/>
        <v>1</v>
      </c>
    </row>
    <row r="278" spans="1:8" ht="29.25" customHeight="1" x14ac:dyDescent="0.3">
      <c r="A278" s="38">
        <v>44664</v>
      </c>
      <c r="B278" s="37">
        <v>19591</v>
      </c>
      <c r="D278" s="34">
        <v>44511</v>
      </c>
      <c r="E278">
        <f t="shared" si="11"/>
        <v>21749</v>
      </c>
      <c r="G278" s="34">
        <v>44511</v>
      </c>
      <c r="H278" s="34" t="b">
        <f t="shared" si="12"/>
        <v>1</v>
      </c>
    </row>
    <row r="279" spans="1:8" ht="29.25" customHeight="1" x14ac:dyDescent="0.3">
      <c r="A279" s="38">
        <v>44671</v>
      </c>
      <c r="B279" s="37">
        <v>23103</v>
      </c>
      <c r="D279" s="34">
        <v>44512</v>
      </c>
      <c r="E279">
        <f t="shared" si="11"/>
        <v>21749</v>
      </c>
      <c r="G279" s="34">
        <v>44512</v>
      </c>
      <c r="H279" s="34" t="b">
        <f t="shared" si="12"/>
        <v>1</v>
      </c>
    </row>
    <row r="280" spans="1:8" ht="29.25" customHeight="1" x14ac:dyDescent="0.3">
      <c r="A280" s="38">
        <v>44678</v>
      </c>
      <c r="B280" s="37">
        <v>19144</v>
      </c>
      <c r="D280" s="34">
        <v>44515</v>
      </c>
      <c r="E280">
        <f t="shared" si="11"/>
        <v>21749</v>
      </c>
      <c r="G280" s="34">
        <v>44515</v>
      </c>
      <c r="H280" s="34" t="b">
        <f t="shared" si="12"/>
        <v>1</v>
      </c>
    </row>
    <row r="281" spans="1:8" ht="29.25" customHeight="1" x14ac:dyDescent="0.3">
      <c r="A281" s="38">
        <v>44685</v>
      </c>
      <c r="B281" s="37">
        <v>20529</v>
      </c>
      <c r="D281" s="34">
        <v>44516</v>
      </c>
      <c r="E281">
        <f t="shared" si="11"/>
        <v>21749</v>
      </c>
      <c r="G281" s="34">
        <v>44516</v>
      </c>
      <c r="H281" s="34" t="b">
        <f t="shared" si="12"/>
        <v>1</v>
      </c>
    </row>
    <row r="282" spans="1:8" ht="29.25" customHeight="1" x14ac:dyDescent="0.3">
      <c r="A282" s="38">
        <v>44692</v>
      </c>
      <c r="B282" s="37">
        <v>17456</v>
      </c>
      <c r="D282" s="34">
        <v>44517</v>
      </c>
      <c r="E282">
        <f t="shared" si="11"/>
        <v>21356</v>
      </c>
      <c r="G282" s="34">
        <v>44517</v>
      </c>
      <c r="H282" s="34" t="b">
        <f t="shared" si="12"/>
        <v>1</v>
      </c>
    </row>
    <row r="283" spans="1:8" ht="29.25" customHeight="1" x14ac:dyDescent="0.3">
      <c r="A283" s="38">
        <v>44699</v>
      </c>
      <c r="B283" s="37">
        <v>18767</v>
      </c>
      <c r="D283" s="34">
        <v>44518</v>
      </c>
      <c r="E283">
        <f t="shared" si="11"/>
        <v>21356</v>
      </c>
      <c r="G283" s="34">
        <v>44518</v>
      </c>
      <c r="H283" s="34" t="b">
        <f t="shared" si="12"/>
        <v>1</v>
      </c>
    </row>
    <row r="284" spans="1:8" ht="29.25" customHeight="1" x14ac:dyDescent="0.3">
      <c r="A284" s="38">
        <v>44706</v>
      </c>
      <c r="B284" s="37">
        <v>21106</v>
      </c>
      <c r="D284" s="34">
        <v>44519</v>
      </c>
      <c r="E284">
        <f t="shared" si="11"/>
        <v>21356</v>
      </c>
      <c r="G284" s="34">
        <v>44519</v>
      </c>
      <c r="H284" s="34" t="b">
        <f t="shared" si="12"/>
        <v>1</v>
      </c>
    </row>
    <row r="285" spans="1:8" ht="29.25" customHeight="1" x14ac:dyDescent="0.3">
      <c r="A285" s="38">
        <v>44713</v>
      </c>
      <c r="B285" s="37">
        <v>20582</v>
      </c>
      <c r="D285" s="34">
        <v>44522</v>
      </c>
      <c r="E285">
        <f t="shared" si="11"/>
        <v>21356</v>
      </c>
      <c r="G285" s="34">
        <v>44522</v>
      </c>
      <c r="H285" s="34" t="b">
        <f t="shared" si="12"/>
        <v>1</v>
      </c>
    </row>
    <row r="286" spans="1:8" ht="29.25" customHeight="1" x14ac:dyDescent="0.3">
      <c r="A286" s="38">
        <v>44720</v>
      </c>
      <c r="B286" s="37">
        <v>21422</v>
      </c>
      <c r="D286" s="34">
        <v>44523</v>
      </c>
      <c r="E286">
        <f t="shared" si="11"/>
        <v>21356</v>
      </c>
      <c r="G286" s="34">
        <v>44523</v>
      </c>
      <c r="H286" s="34" t="b">
        <f t="shared" si="12"/>
        <v>1</v>
      </c>
    </row>
    <row r="287" spans="1:8" ht="29.25" customHeight="1" x14ac:dyDescent="0.3">
      <c r="A287" s="38">
        <v>44727</v>
      </c>
      <c r="B287" s="37">
        <v>20194</v>
      </c>
      <c r="D287" s="34">
        <v>44524</v>
      </c>
      <c r="E287">
        <f t="shared" si="11"/>
        <v>22903</v>
      </c>
      <c r="G287" s="34">
        <v>44524</v>
      </c>
      <c r="H287" s="34" t="b">
        <f t="shared" si="12"/>
        <v>1</v>
      </c>
    </row>
    <row r="288" spans="1:8" ht="29.25" customHeight="1" x14ac:dyDescent="0.3">
      <c r="A288" s="38">
        <v>44734</v>
      </c>
      <c r="B288" s="37">
        <v>21348</v>
      </c>
      <c r="D288" s="34">
        <v>44525</v>
      </c>
      <c r="E288">
        <f t="shared" si="11"/>
        <v>22903</v>
      </c>
      <c r="G288" s="34">
        <v>44525</v>
      </c>
      <c r="H288" s="34" t="b">
        <f t="shared" si="12"/>
        <v>1</v>
      </c>
    </row>
    <row r="289" spans="1:8" ht="29.25" customHeight="1" x14ac:dyDescent="0.3">
      <c r="A289" s="38">
        <v>44741</v>
      </c>
      <c r="B289" s="37">
        <v>20768</v>
      </c>
      <c r="D289" s="34">
        <v>44526</v>
      </c>
      <c r="E289">
        <f t="shared" si="11"/>
        <v>22903</v>
      </c>
      <c r="G289" s="34">
        <v>44526</v>
      </c>
      <c r="H289" s="34" t="b">
        <f t="shared" si="12"/>
        <v>1</v>
      </c>
    </row>
    <row r="290" spans="1:8" ht="29.25" customHeight="1" x14ac:dyDescent="0.3">
      <c r="A290" s="38">
        <v>44748</v>
      </c>
      <c r="B290" s="37">
        <v>21408</v>
      </c>
      <c r="D290" s="34">
        <v>44529</v>
      </c>
      <c r="E290">
        <f t="shared" si="11"/>
        <v>22903</v>
      </c>
      <c r="G290" s="34">
        <v>44529</v>
      </c>
      <c r="H290" s="34" t="b">
        <f t="shared" si="12"/>
        <v>1</v>
      </c>
    </row>
    <row r="291" spans="1:8" ht="29.25" customHeight="1" x14ac:dyDescent="0.3">
      <c r="A291" s="38">
        <v>44755</v>
      </c>
      <c r="B291" s="37">
        <v>20821</v>
      </c>
      <c r="D291" s="34">
        <v>44530</v>
      </c>
      <c r="E291">
        <f t="shared" si="11"/>
        <v>22903</v>
      </c>
      <c r="G291" s="34">
        <v>44530</v>
      </c>
      <c r="H291" s="34" t="b">
        <f t="shared" si="12"/>
        <v>1</v>
      </c>
    </row>
    <row r="292" spans="1:8" ht="29.25" customHeight="1" x14ac:dyDescent="0.3">
      <c r="A292" s="38">
        <v>44762</v>
      </c>
      <c r="B292" s="37">
        <v>19802</v>
      </c>
      <c r="D292" s="34">
        <v>44531</v>
      </c>
      <c r="E292">
        <f t="shared" si="11"/>
        <v>19815</v>
      </c>
      <c r="G292" s="34">
        <v>44531</v>
      </c>
      <c r="H292" s="34" t="b">
        <f t="shared" si="12"/>
        <v>1</v>
      </c>
    </row>
    <row r="293" spans="1:8" ht="29.25" customHeight="1" x14ac:dyDescent="0.3">
      <c r="A293" s="38">
        <v>44769</v>
      </c>
      <c r="B293" s="37">
        <v>18046</v>
      </c>
      <c r="D293" s="34">
        <v>44532</v>
      </c>
      <c r="E293">
        <f t="shared" si="11"/>
        <v>19815</v>
      </c>
      <c r="G293" s="34">
        <v>44532</v>
      </c>
      <c r="H293" s="34" t="b">
        <f t="shared" si="12"/>
        <v>1</v>
      </c>
    </row>
    <row r="294" spans="1:8" ht="29.25" customHeight="1" x14ac:dyDescent="0.3">
      <c r="A294" s="38">
        <v>44776</v>
      </c>
      <c r="B294" s="37">
        <v>18014</v>
      </c>
      <c r="D294" s="34">
        <v>44533</v>
      </c>
      <c r="E294">
        <f t="shared" si="11"/>
        <v>19815</v>
      </c>
      <c r="G294" s="34">
        <v>44533</v>
      </c>
      <c r="H294" s="34" t="b">
        <f t="shared" si="12"/>
        <v>1</v>
      </c>
    </row>
    <row r="295" spans="1:8" ht="29.25" customHeight="1" x14ac:dyDescent="0.3">
      <c r="A295" s="38">
        <v>44783</v>
      </c>
      <c r="B295" s="37">
        <v>17075</v>
      </c>
      <c r="D295" s="34">
        <v>44536</v>
      </c>
      <c r="E295">
        <f t="shared" si="11"/>
        <v>19815</v>
      </c>
      <c r="G295" s="34">
        <v>44536</v>
      </c>
      <c r="H295" s="34" t="b">
        <f t="shared" si="12"/>
        <v>1</v>
      </c>
    </row>
    <row r="296" spans="1:8" ht="29.25" customHeight="1" x14ac:dyDescent="0.3">
      <c r="A296" s="38">
        <v>44790</v>
      </c>
      <c r="B296" s="37">
        <v>18612</v>
      </c>
      <c r="D296" s="34">
        <v>44537</v>
      </c>
      <c r="E296">
        <f t="shared" si="11"/>
        <v>19815</v>
      </c>
      <c r="G296" s="34">
        <v>44537</v>
      </c>
      <c r="H296" s="34" t="b">
        <f t="shared" si="12"/>
        <v>1</v>
      </c>
    </row>
    <row r="297" spans="1:8" ht="29.25" customHeight="1" x14ac:dyDescent="0.3">
      <c r="A297" s="38">
        <v>44797</v>
      </c>
      <c r="B297" s="37">
        <v>21088</v>
      </c>
      <c r="D297" s="34">
        <v>44538</v>
      </c>
      <c r="E297">
        <f t="shared" si="11"/>
        <v>20627</v>
      </c>
      <c r="G297" s="34">
        <v>44538</v>
      </c>
      <c r="H297" s="34" t="b">
        <f t="shared" si="12"/>
        <v>1</v>
      </c>
    </row>
    <row r="298" spans="1:8" ht="29.25" customHeight="1" x14ac:dyDescent="0.3">
      <c r="A298" s="38">
        <v>44804</v>
      </c>
      <c r="B298" s="37">
        <v>22667</v>
      </c>
      <c r="D298" s="34">
        <v>44539</v>
      </c>
      <c r="E298">
        <f t="shared" si="11"/>
        <v>20627</v>
      </c>
      <c r="G298" s="34">
        <v>44539</v>
      </c>
      <c r="H298" s="34" t="b">
        <f t="shared" si="12"/>
        <v>1</v>
      </c>
    </row>
    <row r="299" spans="1:8" ht="29.25" customHeight="1" x14ac:dyDescent="0.3">
      <c r="A299" s="38">
        <v>44811</v>
      </c>
      <c r="B299" s="37">
        <v>19938</v>
      </c>
      <c r="D299" s="34">
        <v>44540</v>
      </c>
      <c r="E299">
        <f t="shared" si="11"/>
        <v>20627</v>
      </c>
      <c r="G299" s="34">
        <v>44540</v>
      </c>
      <c r="H299" s="34" t="b">
        <f t="shared" si="12"/>
        <v>1</v>
      </c>
    </row>
    <row r="300" spans="1:8" ht="29.25" customHeight="1" x14ac:dyDescent="0.3">
      <c r="A300" s="38">
        <v>44818</v>
      </c>
      <c r="B300" s="37">
        <v>19419</v>
      </c>
      <c r="D300" s="34">
        <v>44543</v>
      </c>
      <c r="E300">
        <f t="shared" si="11"/>
        <v>20627</v>
      </c>
      <c r="G300" s="34">
        <v>44543</v>
      </c>
      <c r="H300" s="34" t="b">
        <f t="shared" si="12"/>
        <v>1</v>
      </c>
    </row>
    <row r="301" spans="1:8" ht="29.25" customHeight="1" x14ac:dyDescent="0.3">
      <c r="A301" s="38">
        <v>44825</v>
      </c>
      <c r="B301" s="37">
        <v>23400</v>
      </c>
      <c r="D301" s="34">
        <v>44544</v>
      </c>
      <c r="E301">
        <f t="shared" si="11"/>
        <v>20627</v>
      </c>
      <c r="G301" s="34">
        <v>44544</v>
      </c>
      <c r="H301" s="34" t="b">
        <f t="shared" si="12"/>
        <v>1</v>
      </c>
    </row>
    <row r="302" spans="1:8" ht="29.25" customHeight="1" x14ac:dyDescent="0.3">
      <c r="A302" s="38">
        <v>44832</v>
      </c>
      <c r="B302" s="37">
        <v>22331</v>
      </c>
      <c r="D302" s="34">
        <v>44545</v>
      </c>
      <c r="E302">
        <f t="shared" si="11"/>
        <v>20929</v>
      </c>
      <c r="G302" s="34">
        <v>44545</v>
      </c>
      <c r="H302" s="34" t="b">
        <f t="shared" si="12"/>
        <v>1</v>
      </c>
    </row>
    <row r="303" spans="1:8" ht="29.25" customHeight="1" x14ac:dyDescent="0.3">
      <c r="A303" s="38">
        <v>44839</v>
      </c>
      <c r="B303" s="37">
        <v>22899</v>
      </c>
      <c r="D303" s="34">
        <v>44546</v>
      </c>
      <c r="E303">
        <f t="shared" si="11"/>
        <v>20929</v>
      </c>
      <c r="G303" s="34">
        <v>44546</v>
      </c>
      <c r="H303" s="34" t="b">
        <f t="shared" si="12"/>
        <v>1</v>
      </c>
    </row>
    <row r="304" spans="1:8" ht="29.25" customHeight="1" x14ac:dyDescent="0.3">
      <c r="A304" s="38">
        <v>44846</v>
      </c>
      <c r="B304" s="37">
        <v>20201</v>
      </c>
      <c r="D304" s="34">
        <v>44547</v>
      </c>
      <c r="E304">
        <f t="shared" si="11"/>
        <v>20929</v>
      </c>
      <c r="G304" s="34">
        <v>44547</v>
      </c>
      <c r="H304" s="34" t="b">
        <f t="shared" si="12"/>
        <v>1</v>
      </c>
    </row>
    <row r="305" spans="1:8" ht="29.25" customHeight="1" x14ac:dyDescent="0.3">
      <c r="A305" s="38">
        <v>44853</v>
      </c>
      <c r="B305" s="37">
        <v>21040</v>
      </c>
      <c r="D305" s="34">
        <v>44550</v>
      </c>
      <c r="E305">
        <f t="shared" si="11"/>
        <v>20929</v>
      </c>
      <c r="G305" s="34">
        <v>44550</v>
      </c>
      <c r="H305" s="34" t="b">
        <f t="shared" si="12"/>
        <v>1</v>
      </c>
    </row>
    <row r="306" spans="1:8" ht="29.25" customHeight="1" x14ac:dyDescent="0.3">
      <c r="A306" s="38">
        <v>44860</v>
      </c>
      <c r="B306" s="37">
        <v>21145</v>
      </c>
      <c r="D306" s="34">
        <v>44551</v>
      </c>
      <c r="E306">
        <f t="shared" si="11"/>
        <v>20929</v>
      </c>
      <c r="G306" s="34">
        <v>44551</v>
      </c>
      <c r="H306" s="34" t="b">
        <f t="shared" si="12"/>
        <v>1</v>
      </c>
    </row>
    <row r="307" spans="1:8" ht="29.25" customHeight="1" x14ac:dyDescent="0.3">
      <c r="A307" s="38">
        <v>44867</v>
      </c>
      <c r="B307" s="37">
        <v>18949</v>
      </c>
      <c r="D307" s="34">
        <v>44552</v>
      </c>
      <c r="E307">
        <f t="shared" si="11"/>
        <v>20935</v>
      </c>
      <c r="G307" s="34">
        <v>44552</v>
      </c>
      <c r="H307" s="34" t="b">
        <f t="shared" si="12"/>
        <v>1</v>
      </c>
    </row>
    <row r="308" spans="1:8" ht="29.25" customHeight="1" x14ac:dyDescent="0.3">
      <c r="A308" s="38">
        <v>44874</v>
      </c>
      <c r="B308" s="37">
        <v>21471</v>
      </c>
      <c r="D308" s="34">
        <v>44553</v>
      </c>
      <c r="E308">
        <f t="shared" si="11"/>
        <v>20935</v>
      </c>
      <c r="G308" s="34">
        <v>44553</v>
      </c>
      <c r="H308" s="34" t="b">
        <f t="shared" si="12"/>
        <v>1</v>
      </c>
    </row>
    <row r="309" spans="1:8" ht="29.25" customHeight="1" x14ac:dyDescent="0.3">
      <c r="A309" s="38">
        <v>44881</v>
      </c>
      <c r="B309" s="37">
        <v>21168</v>
      </c>
      <c r="D309" s="34">
        <v>44554</v>
      </c>
      <c r="E309">
        <f t="shared" si="11"/>
        <v>20935</v>
      </c>
      <c r="G309" s="34">
        <v>44554</v>
      </c>
      <c r="H309" s="34" t="b">
        <f t="shared" si="12"/>
        <v>1</v>
      </c>
    </row>
    <row r="310" spans="1:8" ht="29.25" customHeight="1" x14ac:dyDescent="0.3">
      <c r="A310" s="38">
        <v>44888</v>
      </c>
      <c r="B310" s="37">
        <v>19728</v>
      </c>
      <c r="D310" s="34">
        <v>44557</v>
      </c>
      <c r="E310">
        <f t="shared" si="11"/>
        <v>20935</v>
      </c>
      <c r="G310" s="34">
        <v>44557</v>
      </c>
      <c r="H310" s="34" t="b">
        <f t="shared" si="12"/>
        <v>1</v>
      </c>
    </row>
    <row r="311" spans="1:8" ht="29.25" customHeight="1" x14ac:dyDescent="0.3">
      <c r="A311" s="38">
        <v>44895</v>
      </c>
      <c r="B311" s="37">
        <v>19894</v>
      </c>
      <c r="D311" s="34">
        <v>44558</v>
      </c>
      <c r="E311">
        <f t="shared" si="11"/>
        <v>20935</v>
      </c>
      <c r="G311" s="34">
        <v>44558</v>
      </c>
      <c r="H311" s="34" t="b">
        <f t="shared" si="12"/>
        <v>1</v>
      </c>
    </row>
    <row r="312" spans="1:8" ht="29.25" customHeight="1" x14ac:dyDescent="0.3">
      <c r="A312" s="38">
        <v>44902</v>
      </c>
      <c r="B312" s="37">
        <v>20306</v>
      </c>
      <c r="D312" s="34">
        <v>44559</v>
      </c>
      <c r="E312">
        <f t="shared" si="11"/>
        <v>19564</v>
      </c>
      <c r="G312" s="34">
        <v>44559</v>
      </c>
      <c r="H312" s="34" t="b">
        <f t="shared" si="12"/>
        <v>1</v>
      </c>
    </row>
    <row r="313" spans="1:8" ht="29.25" customHeight="1" x14ac:dyDescent="0.3">
      <c r="A313" s="38">
        <v>44909</v>
      </c>
      <c r="B313" s="37">
        <v>20089</v>
      </c>
      <c r="D313" s="34">
        <v>44560</v>
      </c>
      <c r="E313">
        <f t="shared" si="11"/>
        <v>19564</v>
      </c>
      <c r="G313" s="34">
        <v>44560</v>
      </c>
      <c r="H313" s="34" t="b">
        <f t="shared" si="12"/>
        <v>1</v>
      </c>
    </row>
    <row r="314" spans="1:8" ht="29.25" customHeight="1" x14ac:dyDescent="0.3">
      <c r="A314" s="38">
        <v>44916</v>
      </c>
      <c r="B314" s="37">
        <v>21403</v>
      </c>
      <c r="D314" s="34">
        <v>44561</v>
      </c>
      <c r="E314">
        <f t="shared" si="11"/>
        <v>19564</v>
      </c>
      <c r="G314" s="34">
        <v>44561</v>
      </c>
      <c r="H314" s="34" t="b">
        <f t="shared" si="12"/>
        <v>1</v>
      </c>
    </row>
    <row r="315" spans="1:8" ht="29.25" customHeight="1" x14ac:dyDescent="0.3">
      <c r="A315" s="38">
        <v>44923</v>
      </c>
      <c r="B315" s="37">
        <v>20942</v>
      </c>
      <c r="D315" s="34">
        <v>44564</v>
      </c>
      <c r="E315">
        <f t="shared" si="11"/>
        <v>19564</v>
      </c>
      <c r="G315" s="34">
        <v>44564</v>
      </c>
      <c r="H315" s="34" t="b">
        <f t="shared" si="12"/>
        <v>1</v>
      </c>
    </row>
    <row r="316" spans="1:8" ht="29.25" customHeight="1" x14ac:dyDescent="0.3">
      <c r="A316" s="38">
        <v>44930</v>
      </c>
      <c r="B316" s="37">
        <v>21333</v>
      </c>
      <c r="D316" s="34">
        <v>44565</v>
      </c>
      <c r="E316">
        <f t="shared" si="11"/>
        <v>19564</v>
      </c>
      <c r="G316" s="34">
        <v>44565</v>
      </c>
      <c r="H316" s="34" t="b">
        <f t="shared" si="12"/>
        <v>1</v>
      </c>
    </row>
    <row r="317" spans="1:8" ht="29.25" customHeight="1" x14ac:dyDescent="0.3">
      <c r="A317" s="38">
        <v>44937</v>
      </c>
      <c r="B317" s="37">
        <v>20811</v>
      </c>
      <c r="D317" s="34">
        <v>44566</v>
      </c>
      <c r="E317">
        <f t="shared" si="11"/>
        <v>21055</v>
      </c>
      <c r="G317" s="34">
        <v>44566</v>
      </c>
      <c r="H317" s="34" t="b">
        <f t="shared" si="12"/>
        <v>1</v>
      </c>
    </row>
    <row r="318" spans="1:8" ht="29.25" customHeight="1" x14ac:dyDescent="0.3">
      <c r="A318" s="38">
        <v>44944</v>
      </c>
      <c r="B318" s="37">
        <v>20191</v>
      </c>
      <c r="D318" s="34">
        <v>44567</v>
      </c>
      <c r="E318">
        <f t="shared" si="11"/>
        <v>21055</v>
      </c>
      <c r="G318" s="34">
        <v>44567</v>
      </c>
      <c r="H318" s="34" t="b">
        <f t="shared" si="12"/>
        <v>1</v>
      </c>
    </row>
    <row r="319" spans="1:8" ht="29.25" customHeight="1" x14ac:dyDescent="0.3">
      <c r="A319" s="38">
        <v>44951</v>
      </c>
      <c r="B319" s="37">
        <v>19593</v>
      </c>
      <c r="D319" s="34">
        <v>44568</v>
      </c>
      <c r="E319">
        <f t="shared" si="11"/>
        <v>21055</v>
      </c>
      <c r="G319" s="34">
        <v>44568</v>
      </c>
      <c r="H319" s="34" t="b">
        <f t="shared" si="12"/>
        <v>1</v>
      </c>
    </row>
    <row r="320" spans="1:8" ht="29.25" customHeight="1" x14ac:dyDescent="0.3">
      <c r="A320" s="38">
        <v>44958</v>
      </c>
      <c r="B320" s="37">
        <v>20713</v>
      </c>
      <c r="D320" s="34">
        <v>44571</v>
      </c>
      <c r="E320">
        <f t="shared" si="11"/>
        <v>21055</v>
      </c>
      <c r="G320" s="34">
        <v>44571</v>
      </c>
      <c r="H320" s="34" t="b">
        <f t="shared" si="12"/>
        <v>1</v>
      </c>
    </row>
    <row r="321" spans="1:8" ht="29.25" customHeight="1" x14ac:dyDescent="0.3">
      <c r="A321" s="38">
        <v>44965</v>
      </c>
      <c r="B321" s="37">
        <v>21239</v>
      </c>
      <c r="D321" s="34">
        <v>44572</v>
      </c>
      <c r="E321">
        <f t="shared" si="11"/>
        <v>21055</v>
      </c>
      <c r="G321" s="34">
        <v>44572</v>
      </c>
      <c r="H321" s="34" t="b">
        <f t="shared" si="12"/>
        <v>1</v>
      </c>
    </row>
    <row r="322" spans="1:8" ht="29.25" customHeight="1" x14ac:dyDescent="0.3">
      <c r="A322" s="38">
        <v>44972</v>
      </c>
      <c r="B322" s="37">
        <v>20726</v>
      </c>
      <c r="D322" s="34">
        <v>44573</v>
      </c>
      <c r="E322">
        <f t="shared" si="11"/>
        <v>22340</v>
      </c>
      <c r="G322" s="34">
        <v>44573</v>
      </c>
      <c r="H322" s="34" t="b">
        <f t="shared" si="12"/>
        <v>1</v>
      </c>
    </row>
    <row r="323" spans="1:8" ht="29.25" customHeight="1" x14ac:dyDescent="0.3">
      <c r="A323" s="38">
        <v>44979</v>
      </c>
      <c r="B323" s="37">
        <v>22641</v>
      </c>
      <c r="D323" s="34">
        <v>44574</v>
      </c>
      <c r="E323">
        <f t="shared" ref="E323:E386" si="13">LOOKUP(D323,A:A,B:B)</f>
        <v>22340</v>
      </c>
      <c r="G323" s="34">
        <v>44574</v>
      </c>
      <c r="H323" s="34" t="b">
        <f t="shared" ref="H323:H386" si="14">G323=D323</f>
        <v>1</v>
      </c>
    </row>
    <row r="324" spans="1:8" ht="29.25" customHeight="1" x14ac:dyDescent="0.3">
      <c r="A324" s="38">
        <v>44986</v>
      </c>
      <c r="B324" s="37">
        <v>20599</v>
      </c>
      <c r="D324" s="34">
        <v>44575</v>
      </c>
      <c r="E324">
        <f t="shared" si="13"/>
        <v>22340</v>
      </c>
      <c r="G324" s="34">
        <v>44575</v>
      </c>
      <c r="H324" s="34" t="b">
        <f t="shared" si="14"/>
        <v>1</v>
      </c>
    </row>
    <row r="325" spans="1:8" ht="29.25" customHeight="1" x14ac:dyDescent="0.3">
      <c r="A325" s="38">
        <v>44993</v>
      </c>
      <c r="B325" s="37">
        <v>20171</v>
      </c>
      <c r="D325" s="34">
        <v>44578</v>
      </c>
      <c r="E325">
        <f t="shared" si="13"/>
        <v>22340</v>
      </c>
      <c r="G325" s="34">
        <v>44578</v>
      </c>
      <c r="H325" s="34" t="b">
        <f t="shared" si="14"/>
        <v>1</v>
      </c>
    </row>
    <row r="326" spans="1:8" ht="29.25" customHeight="1" x14ac:dyDescent="0.3">
      <c r="A326" s="38">
        <v>45000</v>
      </c>
      <c r="B326" s="37">
        <v>21092</v>
      </c>
      <c r="D326" s="34">
        <v>44579</v>
      </c>
      <c r="E326">
        <f t="shared" si="13"/>
        <v>22340</v>
      </c>
      <c r="G326" s="34">
        <v>44579</v>
      </c>
      <c r="H326" s="34" t="b">
        <f t="shared" si="14"/>
        <v>1</v>
      </c>
    </row>
    <row r="327" spans="1:8" ht="29.25" customHeight="1" x14ac:dyDescent="0.3">
      <c r="A327" s="38">
        <v>45007</v>
      </c>
      <c r="B327" s="37">
        <v>23048</v>
      </c>
      <c r="D327" s="34">
        <v>44580</v>
      </c>
      <c r="E327">
        <f t="shared" si="13"/>
        <v>21199</v>
      </c>
      <c r="G327" s="34">
        <v>44580</v>
      </c>
      <c r="H327" s="34" t="b">
        <f t="shared" si="14"/>
        <v>1</v>
      </c>
    </row>
    <row r="328" spans="1:8" ht="29.25" customHeight="1" x14ac:dyDescent="0.3">
      <c r="A328" s="38">
        <v>45014</v>
      </c>
      <c r="B328" s="37">
        <v>22578</v>
      </c>
      <c r="D328" s="34">
        <v>44581</v>
      </c>
      <c r="E328">
        <f t="shared" si="13"/>
        <v>21199</v>
      </c>
      <c r="G328" s="34">
        <v>44581</v>
      </c>
      <c r="H328" s="34" t="b">
        <f t="shared" si="14"/>
        <v>1</v>
      </c>
    </row>
    <row r="329" spans="1:8" ht="29.25" customHeight="1" x14ac:dyDescent="0.3">
      <c r="A329" s="38">
        <v>45021</v>
      </c>
      <c r="B329" s="37">
        <v>23740</v>
      </c>
      <c r="D329" s="34">
        <v>44582</v>
      </c>
      <c r="E329">
        <f t="shared" si="13"/>
        <v>21199</v>
      </c>
      <c r="G329" s="34">
        <v>44582</v>
      </c>
      <c r="H329" s="34" t="b">
        <f t="shared" si="14"/>
        <v>1</v>
      </c>
    </row>
    <row r="330" spans="1:8" ht="29.25" customHeight="1" x14ac:dyDescent="0.3">
      <c r="A330" s="38">
        <v>45028</v>
      </c>
      <c r="B330" s="37">
        <v>23524</v>
      </c>
      <c r="D330" s="34">
        <v>44585</v>
      </c>
      <c r="E330">
        <f t="shared" si="13"/>
        <v>21199</v>
      </c>
      <c r="G330" s="34">
        <v>44585</v>
      </c>
      <c r="H330" s="34" t="b">
        <f t="shared" si="14"/>
        <v>1</v>
      </c>
    </row>
    <row r="331" spans="1:8" ht="29.25" customHeight="1" x14ac:dyDescent="0.3">
      <c r="A331" s="38">
        <v>45035</v>
      </c>
      <c r="B331" s="37">
        <v>23519</v>
      </c>
      <c r="D331" s="34">
        <v>44586</v>
      </c>
      <c r="E331">
        <f t="shared" si="13"/>
        <v>21199</v>
      </c>
      <c r="G331" s="34">
        <v>44586</v>
      </c>
      <c r="H331" s="34" t="b">
        <f t="shared" si="14"/>
        <v>1</v>
      </c>
    </row>
    <row r="332" spans="1:8" ht="29.25" customHeight="1" x14ac:dyDescent="0.3">
      <c r="A332" s="38">
        <v>45042</v>
      </c>
      <c r="B332" s="37">
        <v>23060</v>
      </c>
      <c r="D332" s="34">
        <v>44587</v>
      </c>
      <c r="E332">
        <f t="shared" si="13"/>
        <v>23782</v>
      </c>
      <c r="G332" s="34">
        <v>44587</v>
      </c>
      <c r="H332" s="34" t="b">
        <f t="shared" si="14"/>
        <v>1</v>
      </c>
    </row>
    <row r="333" spans="1:8" ht="29.25" customHeight="1" x14ac:dyDescent="0.3">
      <c r="A333" s="38">
        <v>45049</v>
      </c>
      <c r="B333" s="37">
        <v>20619</v>
      </c>
      <c r="D333" s="34">
        <v>44588</v>
      </c>
      <c r="E333">
        <f t="shared" si="13"/>
        <v>23782</v>
      </c>
      <c r="G333" s="34">
        <v>44588</v>
      </c>
      <c r="H333" s="34" t="b">
        <f t="shared" si="14"/>
        <v>1</v>
      </c>
    </row>
    <row r="334" spans="1:8" ht="29.25" customHeight="1" x14ac:dyDescent="0.3">
      <c r="A334" s="38">
        <v>45056</v>
      </c>
      <c r="B334" s="37">
        <v>19194</v>
      </c>
      <c r="D334" s="34">
        <v>44589</v>
      </c>
      <c r="E334">
        <f t="shared" si="13"/>
        <v>23782</v>
      </c>
      <c r="G334" s="34">
        <v>44589</v>
      </c>
      <c r="H334" s="34" t="b">
        <f t="shared" si="14"/>
        <v>1</v>
      </c>
    </row>
    <row r="335" spans="1:8" ht="29.25" customHeight="1" x14ac:dyDescent="0.3">
      <c r="A335" s="38">
        <v>45063</v>
      </c>
      <c r="B335" s="37">
        <v>19173</v>
      </c>
      <c r="D335" s="34">
        <v>44592</v>
      </c>
      <c r="E335">
        <f t="shared" si="13"/>
        <v>23782</v>
      </c>
      <c r="G335" s="34">
        <v>44592</v>
      </c>
      <c r="H335" s="34" t="b">
        <f t="shared" si="14"/>
        <v>1</v>
      </c>
    </row>
    <row r="336" spans="1:8" ht="29.25" customHeight="1" x14ac:dyDescent="0.3">
      <c r="A336" s="38">
        <v>45070</v>
      </c>
      <c r="B336" s="37">
        <v>17487</v>
      </c>
      <c r="D336" s="34">
        <v>44593</v>
      </c>
      <c r="E336">
        <f t="shared" si="13"/>
        <v>23782</v>
      </c>
      <c r="G336" s="34">
        <v>44593</v>
      </c>
      <c r="H336" s="34" t="b">
        <f t="shared" si="14"/>
        <v>1</v>
      </c>
    </row>
    <row r="337" spans="1:8" ht="29.25" customHeight="1" x14ac:dyDescent="0.3">
      <c r="A337" s="38">
        <v>45077</v>
      </c>
      <c r="B337" s="37">
        <v>18937</v>
      </c>
      <c r="D337" s="34">
        <v>44594</v>
      </c>
      <c r="E337">
        <f t="shared" si="13"/>
        <v>23085</v>
      </c>
      <c r="G337" s="34">
        <v>44594</v>
      </c>
      <c r="H337" s="34" t="b">
        <f t="shared" si="14"/>
        <v>1</v>
      </c>
    </row>
    <row r="338" spans="1:8" ht="29.25" customHeight="1" x14ac:dyDescent="0.3">
      <c r="A338" s="38">
        <v>45084</v>
      </c>
      <c r="B338" s="37">
        <v>19574</v>
      </c>
      <c r="D338" s="34">
        <v>44595</v>
      </c>
      <c r="E338">
        <f t="shared" si="13"/>
        <v>23085</v>
      </c>
      <c r="G338" s="34">
        <v>44595</v>
      </c>
      <c r="H338" s="34" t="b">
        <f t="shared" si="14"/>
        <v>1</v>
      </c>
    </row>
    <row r="339" spans="1:8" ht="29.25" customHeight="1" x14ac:dyDescent="0.3">
      <c r="A339" s="38">
        <v>45091</v>
      </c>
      <c r="B339" s="37">
        <v>21250</v>
      </c>
      <c r="D339" s="34">
        <v>44596</v>
      </c>
      <c r="E339">
        <f t="shared" si="13"/>
        <v>23085</v>
      </c>
      <c r="G339" s="34">
        <v>44596</v>
      </c>
      <c r="H339" s="34" t="b">
        <f t="shared" si="14"/>
        <v>1</v>
      </c>
    </row>
    <row r="340" spans="1:8" ht="29.25" customHeight="1" x14ac:dyDescent="0.3">
      <c r="A340" s="38">
        <v>45098</v>
      </c>
      <c r="B340" s="37">
        <v>18535</v>
      </c>
      <c r="D340" s="34">
        <v>44599</v>
      </c>
      <c r="E340">
        <f t="shared" si="13"/>
        <v>23085</v>
      </c>
      <c r="G340" s="34">
        <v>44599</v>
      </c>
      <c r="H340" s="34" t="b">
        <f t="shared" si="14"/>
        <v>1</v>
      </c>
    </row>
    <row r="341" spans="1:8" ht="29.25" customHeight="1" x14ac:dyDescent="0.3">
      <c r="A341" s="38">
        <v>45105</v>
      </c>
      <c r="B341" s="37">
        <v>20394</v>
      </c>
      <c r="D341" s="34">
        <v>44600</v>
      </c>
      <c r="E341">
        <f t="shared" si="13"/>
        <v>23085</v>
      </c>
      <c r="G341" s="34">
        <v>44600</v>
      </c>
      <c r="H341" s="34" t="b">
        <f t="shared" si="14"/>
        <v>1</v>
      </c>
    </row>
    <row r="342" spans="1:8" ht="29.25" customHeight="1" x14ac:dyDescent="0.3">
      <c r="A342" s="38">
        <v>45112</v>
      </c>
      <c r="B342" s="37">
        <v>20571</v>
      </c>
      <c r="D342" s="34">
        <v>44601</v>
      </c>
      <c r="E342">
        <f t="shared" si="13"/>
        <v>22156</v>
      </c>
      <c r="G342" s="34">
        <v>44601</v>
      </c>
      <c r="H342" s="34" t="b">
        <f t="shared" si="14"/>
        <v>1</v>
      </c>
    </row>
    <row r="343" spans="1:8" ht="29.25" customHeight="1" x14ac:dyDescent="0.3">
      <c r="A343" s="38">
        <v>45119</v>
      </c>
      <c r="B343" s="37">
        <v>18354</v>
      </c>
      <c r="D343" s="34">
        <v>44602</v>
      </c>
      <c r="E343">
        <f t="shared" si="13"/>
        <v>22156</v>
      </c>
      <c r="G343" s="34">
        <v>44602</v>
      </c>
      <c r="H343" s="34" t="b">
        <f t="shared" si="14"/>
        <v>1</v>
      </c>
    </row>
    <row r="344" spans="1:8" ht="29.25" customHeight="1" x14ac:dyDescent="0.3">
      <c r="A344" s="38">
        <v>45126</v>
      </c>
      <c r="B344" s="37">
        <v>17807</v>
      </c>
      <c r="D344" s="34">
        <v>44603</v>
      </c>
      <c r="E344">
        <f t="shared" si="13"/>
        <v>22156</v>
      </c>
      <c r="G344" s="34">
        <v>44603</v>
      </c>
      <c r="H344" s="34" t="b">
        <f t="shared" si="14"/>
        <v>1</v>
      </c>
    </row>
    <row r="345" spans="1:8" ht="29.25" customHeight="1" x14ac:dyDescent="0.3">
      <c r="A345" s="38">
        <v>45133</v>
      </c>
      <c r="B345" s="37">
        <v>20923</v>
      </c>
      <c r="D345" s="34">
        <v>44606</v>
      </c>
      <c r="E345">
        <f t="shared" si="13"/>
        <v>22156</v>
      </c>
      <c r="G345" s="34">
        <v>44606</v>
      </c>
      <c r="H345" s="34" t="b">
        <f t="shared" si="14"/>
        <v>1</v>
      </c>
    </row>
    <row r="346" spans="1:8" ht="29.25" customHeight="1" x14ac:dyDescent="0.3">
      <c r="A346" s="38">
        <v>45140</v>
      </c>
      <c r="B346" s="37">
        <v>22921</v>
      </c>
      <c r="D346" s="34">
        <v>44607</v>
      </c>
      <c r="E346">
        <f t="shared" si="13"/>
        <v>22156</v>
      </c>
      <c r="G346" s="34">
        <v>44607</v>
      </c>
      <c r="H346" s="34" t="b">
        <f t="shared" si="14"/>
        <v>1</v>
      </c>
    </row>
    <row r="347" spans="1:8" ht="29.25" customHeight="1" x14ac:dyDescent="0.3">
      <c r="A347" s="38">
        <v>45147</v>
      </c>
      <c r="B347" s="37">
        <v>20466</v>
      </c>
      <c r="D347" s="34">
        <v>44608</v>
      </c>
      <c r="E347">
        <f t="shared" si="13"/>
        <v>24128</v>
      </c>
      <c r="G347" s="34">
        <v>44608</v>
      </c>
      <c r="H347" s="34" t="b">
        <f t="shared" si="14"/>
        <v>1</v>
      </c>
    </row>
    <row r="348" spans="1:8" ht="29.25" customHeight="1" x14ac:dyDescent="0.3">
      <c r="A348" s="38">
        <v>45154</v>
      </c>
      <c r="B348" s="37">
        <v>20081</v>
      </c>
      <c r="D348" s="34">
        <v>44609</v>
      </c>
      <c r="E348">
        <f t="shared" si="13"/>
        <v>24128</v>
      </c>
      <c r="G348" s="34">
        <v>44609</v>
      </c>
      <c r="H348" s="34" t="b">
        <f t="shared" si="14"/>
        <v>1</v>
      </c>
    </row>
    <row r="349" spans="1:8" ht="29.25" customHeight="1" x14ac:dyDescent="0.3">
      <c r="A349" s="38">
        <v>45161</v>
      </c>
      <c r="B349" s="37">
        <v>22099</v>
      </c>
      <c r="D349" s="34">
        <v>44610</v>
      </c>
      <c r="E349">
        <f t="shared" si="13"/>
        <v>24128</v>
      </c>
      <c r="G349" s="34">
        <v>44610</v>
      </c>
      <c r="H349" s="34" t="b">
        <f t="shared" si="14"/>
        <v>1</v>
      </c>
    </row>
    <row r="350" spans="1:8" ht="29.25" customHeight="1" x14ac:dyDescent="0.3">
      <c r="A350" s="38">
        <v>45168</v>
      </c>
      <c r="B350" s="37">
        <v>19915</v>
      </c>
      <c r="D350" s="34">
        <v>44613</v>
      </c>
      <c r="E350">
        <f t="shared" si="13"/>
        <v>24128</v>
      </c>
      <c r="G350" s="34">
        <v>44613</v>
      </c>
      <c r="H350" s="34" t="b">
        <f t="shared" si="14"/>
        <v>1</v>
      </c>
    </row>
    <row r="351" spans="1:8" ht="29.25" customHeight="1" x14ac:dyDescent="0.3">
      <c r="A351" s="38">
        <v>45175</v>
      </c>
      <c r="B351" s="37">
        <v>19450</v>
      </c>
      <c r="D351" s="34">
        <v>44614</v>
      </c>
      <c r="E351">
        <f t="shared" si="13"/>
        <v>24128</v>
      </c>
      <c r="G351" s="34">
        <v>44614</v>
      </c>
      <c r="H351" s="34" t="b">
        <f t="shared" si="14"/>
        <v>1</v>
      </c>
    </row>
    <row r="352" spans="1:8" ht="29.25" customHeight="1" x14ac:dyDescent="0.3">
      <c r="A352" s="38">
        <v>45182</v>
      </c>
      <c r="B352" s="37">
        <v>20770</v>
      </c>
      <c r="D352" s="34">
        <v>44615</v>
      </c>
      <c r="E352">
        <f t="shared" si="13"/>
        <v>21370</v>
      </c>
      <c r="G352" s="34">
        <v>44615</v>
      </c>
      <c r="H352" s="34" t="b">
        <f t="shared" si="14"/>
        <v>1</v>
      </c>
    </row>
    <row r="353" spans="1:8" ht="29.25" customHeight="1" x14ac:dyDescent="0.3">
      <c r="A353" s="38">
        <v>45189</v>
      </c>
      <c r="B353" s="37">
        <v>21855</v>
      </c>
      <c r="D353" s="34">
        <v>44616</v>
      </c>
      <c r="E353">
        <f t="shared" si="13"/>
        <v>21370</v>
      </c>
      <c r="G353" s="34">
        <v>44616</v>
      </c>
      <c r="H353" s="34" t="b">
        <f t="shared" si="14"/>
        <v>1</v>
      </c>
    </row>
    <row r="354" spans="1:8" ht="29.25" customHeight="1" x14ac:dyDescent="0.3">
      <c r="A354" s="38">
        <v>45196</v>
      </c>
      <c r="B354" s="37">
        <v>19774</v>
      </c>
      <c r="D354" s="34">
        <v>44617</v>
      </c>
      <c r="E354">
        <f t="shared" si="13"/>
        <v>21370</v>
      </c>
      <c r="G354" s="34">
        <v>44617</v>
      </c>
      <c r="H354" s="34" t="b">
        <f t="shared" si="14"/>
        <v>1</v>
      </c>
    </row>
    <row r="355" spans="1:8" ht="29.25" customHeight="1" x14ac:dyDescent="0.3">
      <c r="A355" s="38">
        <v>45203</v>
      </c>
      <c r="B355" s="37">
        <v>19373</v>
      </c>
      <c r="D355" s="34">
        <v>44620</v>
      </c>
      <c r="E355">
        <f t="shared" si="13"/>
        <v>21370</v>
      </c>
      <c r="G355" s="34">
        <v>44620</v>
      </c>
      <c r="H355" s="34" t="b">
        <f t="shared" si="14"/>
        <v>1</v>
      </c>
    </row>
    <row r="356" spans="1:8" ht="29.25" customHeight="1" x14ac:dyDescent="0.3">
      <c r="A356" s="38">
        <v>45210</v>
      </c>
      <c r="B356" s="37">
        <v>17974</v>
      </c>
      <c r="D356" s="34">
        <v>44621</v>
      </c>
      <c r="E356">
        <f t="shared" si="13"/>
        <v>21370</v>
      </c>
      <c r="G356" s="34">
        <v>44621</v>
      </c>
      <c r="H356" s="34" t="b">
        <f t="shared" si="14"/>
        <v>1</v>
      </c>
    </row>
    <row r="357" spans="1:8" ht="29.25" customHeight="1" x14ac:dyDescent="0.3">
      <c r="A357" s="38">
        <v>45217</v>
      </c>
      <c r="B357" s="37">
        <v>19394</v>
      </c>
      <c r="D357" s="34">
        <v>44622</v>
      </c>
      <c r="E357">
        <f t="shared" si="13"/>
        <v>21738</v>
      </c>
      <c r="G357" s="34">
        <v>44622</v>
      </c>
      <c r="H357" s="34" t="b">
        <f t="shared" si="14"/>
        <v>1</v>
      </c>
    </row>
    <row r="358" spans="1:8" ht="29.25" customHeight="1" x14ac:dyDescent="0.3">
      <c r="A358" s="38">
        <v>45224</v>
      </c>
      <c r="B358" s="37">
        <v>19535</v>
      </c>
      <c r="D358" s="34">
        <v>44623</v>
      </c>
      <c r="E358">
        <f t="shared" si="13"/>
        <v>21738</v>
      </c>
      <c r="G358" s="34">
        <v>44623</v>
      </c>
      <c r="H358" s="34" t="b">
        <f t="shared" si="14"/>
        <v>1</v>
      </c>
    </row>
    <row r="359" spans="1:8" ht="29.25" customHeight="1" x14ac:dyDescent="0.3">
      <c r="A359" s="38">
        <v>45231</v>
      </c>
      <c r="B359" s="37">
        <v>19436</v>
      </c>
      <c r="D359" s="34">
        <v>44624</v>
      </c>
      <c r="E359">
        <f t="shared" si="13"/>
        <v>21738</v>
      </c>
      <c r="G359" s="34">
        <v>44624</v>
      </c>
      <c r="H359" s="34" t="b">
        <f t="shared" si="14"/>
        <v>1</v>
      </c>
    </row>
    <row r="360" spans="1:8" ht="29.25" customHeight="1" x14ac:dyDescent="0.3">
      <c r="A360" s="38">
        <v>45238</v>
      </c>
      <c r="B360" s="37">
        <v>18552</v>
      </c>
      <c r="D360" s="34">
        <v>44627</v>
      </c>
      <c r="E360">
        <f t="shared" si="13"/>
        <v>21738</v>
      </c>
      <c r="G360" s="34">
        <v>44627</v>
      </c>
      <c r="H360" s="34" t="b">
        <f t="shared" si="14"/>
        <v>1</v>
      </c>
    </row>
    <row r="361" spans="1:8" ht="29.25" customHeight="1" x14ac:dyDescent="0.3">
      <c r="A361" s="38">
        <v>45245</v>
      </c>
      <c r="B361" s="37">
        <v>17511</v>
      </c>
      <c r="D361" s="34">
        <v>44628</v>
      </c>
      <c r="E361">
        <f t="shared" si="13"/>
        <v>21738</v>
      </c>
      <c r="G361" s="34">
        <v>44628</v>
      </c>
      <c r="H361" s="34" t="b">
        <f t="shared" si="14"/>
        <v>1</v>
      </c>
    </row>
    <row r="362" spans="1:8" ht="29.25" customHeight="1" x14ac:dyDescent="0.3">
      <c r="A362" s="38">
        <v>45252</v>
      </c>
      <c r="B362" s="37">
        <v>20122</v>
      </c>
      <c r="D362" s="34">
        <v>44629</v>
      </c>
      <c r="E362">
        <f t="shared" si="13"/>
        <v>23014</v>
      </c>
      <c r="G362" s="34">
        <v>44629</v>
      </c>
      <c r="H362" s="34" t="b">
        <f t="shared" si="14"/>
        <v>1</v>
      </c>
    </row>
    <row r="363" spans="1:8" ht="29.25" customHeight="1" x14ac:dyDescent="0.3">
      <c r="A363" s="38">
        <v>45259</v>
      </c>
      <c r="B363" s="37">
        <v>19503</v>
      </c>
      <c r="D363" s="34">
        <v>44630</v>
      </c>
      <c r="E363">
        <f t="shared" si="13"/>
        <v>23014</v>
      </c>
      <c r="G363" s="34">
        <v>44630</v>
      </c>
      <c r="H363" s="34" t="b">
        <f t="shared" si="14"/>
        <v>1</v>
      </c>
    </row>
    <row r="364" spans="1:8" ht="29.25" customHeight="1" x14ac:dyDescent="0.3">
      <c r="A364" s="38">
        <v>45266</v>
      </c>
      <c r="B364" s="37">
        <v>18848</v>
      </c>
      <c r="D364" s="34">
        <v>44631</v>
      </c>
      <c r="E364">
        <f t="shared" si="13"/>
        <v>23014</v>
      </c>
      <c r="G364" s="34">
        <v>44631</v>
      </c>
      <c r="H364" s="34" t="b">
        <f t="shared" si="14"/>
        <v>1</v>
      </c>
    </row>
    <row r="365" spans="1:8" ht="29.25" customHeight="1" x14ac:dyDescent="0.3">
      <c r="A365" s="38">
        <v>45273</v>
      </c>
      <c r="B365" s="37">
        <v>21567</v>
      </c>
      <c r="D365" s="34">
        <v>44634</v>
      </c>
      <c r="E365">
        <f t="shared" si="13"/>
        <v>23014</v>
      </c>
      <c r="G365" s="34">
        <v>44634</v>
      </c>
      <c r="H365" s="34" t="b">
        <f t="shared" si="14"/>
        <v>1</v>
      </c>
    </row>
    <row r="366" spans="1:8" ht="29.25" customHeight="1" x14ac:dyDescent="0.3">
      <c r="A366" s="38">
        <v>45280</v>
      </c>
      <c r="B366" s="37">
        <v>20552</v>
      </c>
      <c r="D366" s="34">
        <v>44635</v>
      </c>
      <c r="E366">
        <f t="shared" si="13"/>
        <v>23014</v>
      </c>
      <c r="G366" s="34">
        <v>44635</v>
      </c>
      <c r="H366" s="34" t="b">
        <f t="shared" si="14"/>
        <v>1</v>
      </c>
    </row>
    <row r="367" spans="1:8" ht="29.25" customHeight="1" x14ac:dyDescent="0.3">
      <c r="A367" s="38">
        <v>45287</v>
      </c>
      <c r="B367" s="37">
        <v>21094</v>
      </c>
      <c r="D367" s="34">
        <v>44636</v>
      </c>
      <c r="E367">
        <f t="shared" si="13"/>
        <v>23355</v>
      </c>
      <c r="G367" s="34">
        <v>44636</v>
      </c>
      <c r="H367" s="34" t="b">
        <f t="shared" si="14"/>
        <v>1</v>
      </c>
    </row>
    <row r="368" spans="1:8" ht="29.25" customHeight="1" x14ac:dyDescent="0.3">
      <c r="A368" s="38">
        <v>45294</v>
      </c>
      <c r="B368" s="37">
        <v>22313</v>
      </c>
      <c r="D368" s="34">
        <v>44637</v>
      </c>
      <c r="E368">
        <f t="shared" si="13"/>
        <v>23355</v>
      </c>
      <c r="G368" s="34">
        <v>44637</v>
      </c>
      <c r="H368" s="34" t="b">
        <f t="shared" si="14"/>
        <v>1</v>
      </c>
    </row>
    <row r="369" spans="1:8" ht="29.25" customHeight="1" x14ac:dyDescent="0.3">
      <c r="A369" s="38">
        <v>45301</v>
      </c>
      <c r="B369" s="37">
        <v>23015</v>
      </c>
      <c r="D369" s="34">
        <v>44638</v>
      </c>
      <c r="E369">
        <f t="shared" si="13"/>
        <v>23355</v>
      </c>
      <c r="G369" s="34">
        <v>44638</v>
      </c>
      <c r="H369" s="34" t="b">
        <f t="shared" si="14"/>
        <v>1</v>
      </c>
    </row>
    <row r="370" spans="1:8" ht="29.25" customHeight="1" x14ac:dyDescent="0.3">
      <c r="A370" s="38">
        <v>45308</v>
      </c>
      <c r="B370" s="37">
        <v>22503</v>
      </c>
      <c r="D370" s="34">
        <v>44641</v>
      </c>
      <c r="E370">
        <f t="shared" si="13"/>
        <v>23355</v>
      </c>
      <c r="G370" s="34">
        <v>44641</v>
      </c>
      <c r="H370" s="34" t="b">
        <f t="shared" si="14"/>
        <v>1</v>
      </c>
    </row>
    <row r="371" spans="1:8" ht="29.25" customHeight="1" x14ac:dyDescent="0.3">
      <c r="A371" s="38">
        <v>45315</v>
      </c>
      <c r="B371" s="37">
        <v>21011</v>
      </c>
      <c r="D371" s="34">
        <v>44642</v>
      </c>
      <c r="E371">
        <f t="shared" si="13"/>
        <v>23355</v>
      </c>
      <c r="G371" s="34">
        <v>44642</v>
      </c>
      <c r="H371" s="34" t="b">
        <f t="shared" si="14"/>
        <v>1</v>
      </c>
    </row>
    <row r="372" spans="1:8" ht="29.25" customHeight="1" x14ac:dyDescent="0.3">
      <c r="A372" s="38">
        <v>45322</v>
      </c>
      <c r="B372" s="37">
        <v>23439</v>
      </c>
      <c r="D372" s="34">
        <v>44643</v>
      </c>
      <c r="E372">
        <f t="shared" si="13"/>
        <v>22406</v>
      </c>
      <c r="G372" s="34">
        <v>44643</v>
      </c>
      <c r="H372" s="34" t="b">
        <f t="shared" si="14"/>
        <v>1</v>
      </c>
    </row>
    <row r="373" spans="1:8" ht="29.25" customHeight="1" x14ac:dyDescent="0.3">
      <c r="A373" s="38">
        <v>45329</v>
      </c>
      <c r="B373" s="37">
        <v>21803</v>
      </c>
      <c r="D373" s="34">
        <v>44644</v>
      </c>
      <c r="E373">
        <f t="shared" si="13"/>
        <v>22406</v>
      </c>
      <c r="G373" s="34">
        <v>44644</v>
      </c>
      <c r="H373" s="34" t="b">
        <f t="shared" si="14"/>
        <v>1</v>
      </c>
    </row>
    <row r="374" spans="1:8" ht="29.25" customHeight="1" x14ac:dyDescent="0.3">
      <c r="A374" s="38">
        <v>45336</v>
      </c>
      <c r="B374" s="37">
        <v>20103</v>
      </c>
      <c r="D374" s="34">
        <v>44645</v>
      </c>
      <c r="E374">
        <f t="shared" si="13"/>
        <v>22406</v>
      </c>
      <c r="G374" s="34">
        <v>44645</v>
      </c>
      <c r="H374" s="34" t="b">
        <f t="shared" si="14"/>
        <v>1</v>
      </c>
    </row>
    <row r="375" spans="1:8" ht="29.25" customHeight="1" x14ac:dyDescent="0.3">
      <c r="A375" s="38">
        <v>45343</v>
      </c>
      <c r="B375" s="37">
        <v>23359</v>
      </c>
      <c r="D375" s="34">
        <v>44648</v>
      </c>
      <c r="E375">
        <f t="shared" si="13"/>
        <v>22406</v>
      </c>
      <c r="G375" s="34">
        <v>44648</v>
      </c>
      <c r="H375" s="34" t="b">
        <f t="shared" si="14"/>
        <v>1</v>
      </c>
    </row>
    <row r="376" spans="1:8" ht="29.25" customHeight="1" x14ac:dyDescent="0.3">
      <c r="A376" s="38">
        <v>45350</v>
      </c>
      <c r="B376" s="37">
        <v>20487</v>
      </c>
      <c r="D376" s="34">
        <v>44649</v>
      </c>
      <c r="E376">
        <f t="shared" si="13"/>
        <v>22406</v>
      </c>
      <c r="G376" s="34">
        <v>44649</v>
      </c>
      <c r="H376" s="34" t="b">
        <f t="shared" si="14"/>
        <v>1</v>
      </c>
    </row>
    <row r="377" spans="1:8" ht="29.25" customHeight="1" x14ac:dyDescent="0.3">
      <c r="A377" s="38">
        <v>45357</v>
      </c>
      <c r="B377" s="37">
        <v>19139</v>
      </c>
      <c r="D377" s="34">
        <v>44650</v>
      </c>
      <c r="E377">
        <f t="shared" si="13"/>
        <v>20937</v>
      </c>
      <c r="G377" s="34">
        <v>44650</v>
      </c>
      <c r="H377" s="34" t="b">
        <f t="shared" si="14"/>
        <v>1</v>
      </c>
    </row>
    <row r="378" spans="1:8" ht="29.25" customHeight="1" x14ac:dyDescent="0.3">
      <c r="A378" s="38">
        <v>45364</v>
      </c>
      <c r="B378" s="37">
        <v>21327</v>
      </c>
      <c r="D378" s="34">
        <v>44651</v>
      </c>
      <c r="E378">
        <f t="shared" si="13"/>
        <v>20937</v>
      </c>
      <c r="G378" s="34">
        <v>44651</v>
      </c>
      <c r="H378" s="34" t="b">
        <f t="shared" si="14"/>
        <v>1</v>
      </c>
    </row>
    <row r="379" spans="1:8" ht="29.25" customHeight="1" x14ac:dyDescent="0.3">
      <c r="A379" s="38">
        <v>45371</v>
      </c>
      <c r="B379" s="37">
        <v>22009</v>
      </c>
      <c r="D379" s="34">
        <v>44652</v>
      </c>
      <c r="E379">
        <f t="shared" si="13"/>
        <v>20937</v>
      </c>
      <c r="G379" s="34">
        <v>44652</v>
      </c>
      <c r="H379" s="34" t="b">
        <f t="shared" si="14"/>
        <v>1</v>
      </c>
    </row>
    <row r="380" spans="1:8" ht="29.25" customHeight="1" x14ac:dyDescent="0.3">
      <c r="A380" s="38">
        <v>45378</v>
      </c>
      <c r="B380" s="37">
        <v>21403</v>
      </c>
      <c r="D380" s="34">
        <v>44655</v>
      </c>
      <c r="E380">
        <f t="shared" si="13"/>
        <v>20937</v>
      </c>
      <c r="G380" s="34">
        <v>44655</v>
      </c>
      <c r="H380" s="34" t="b">
        <f t="shared" si="14"/>
        <v>1</v>
      </c>
    </row>
    <row r="381" spans="1:8" ht="29.25" customHeight="1" x14ac:dyDescent="0.3">
      <c r="A381" s="38">
        <v>45385</v>
      </c>
      <c r="B381" s="37">
        <v>21085</v>
      </c>
      <c r="D381" s="34">
        <v>44656</v>
      </c>
      <c r="E381">
        <f t="shared" si="13"/>
        <v>20937</v>
      </c>
      <c r="G381" s="34">
        <v>44656</v>
      </c>
      <c r="H381" s="34" t="b">
        <f t="shared" si="14"/>
        <v>1</v>
      </c>
    </row>
    <row r="382" spans="1:8" ht="29.25" customHeight="1" x14ac:dyDescent="0.3">
      <c r="A382" s="38">
        <v>45392</v>
      </c>
      <c r="B382" s="37">
        <v>21004</v>
      </c>
      <c r="D382" s="34">
        <v>44657</v>
      </c>
      <c r="E382">
        <f t="shared" si="13"/>
        <v>20436</v>
      </c>
      <c r="G382" s="34">
        <v>44657</v>
      </c>
      <c r="H382" s="34" t="b">
        <f t="shared" si="14"/>
        <v>1</v>
      </c>
    </row>
    <row r="383" spans="1:8" ht="29.25" customHeight="1" x14ac:dyDescent="0.3">
      <c r="A383" s="38">
        <v>45399</v>
      </c>
      <c r="B383" s="37">
        <v>22186</v>
      </c>
      <c r="D383" s="34">
        <v>44658</v>
      </c>
      <c r="E383">
        <f t="shared" si="13"/>
        <v>20436</v>
      </c>
      <c r="G383" s="34">
        <v>44658</v>
      </c>
      <c r="H383" s="34" t="b">
        <f t="shared" si="14"/>
        <v>1</v>
      </c>
    </row>
    <row r="384" spans="1:8" ht="29.25" customHeight="1" x14ac:dyDescent="0.3">
      <c r="A384" s="38">
        <v>45406</v>
      </c>
      <c r="B384" s="37">
        <v>18942</v>
      </c>
      <c r="D384" s="34">
        <v>44659</v>
      </c>
      <c r="E384">
        <f t="shared" si="13"/>
        <v>20436</v>
      </c>
      <c r="G384" s="34">
        <v>44659</v>
      </c>
      <c r="H384" s="34" t="b">
        <f t="shared" si="14"/>
        <v>1</v>
      </c>
    </row>
    <row r="385" spans="1:8" ht="29.25" customHeight="1" x14ac:dyDescent="0.3">
      <c r="A385" s="38">
        <v>45413</v>
      </c>
      <c r="B385" s="37">
        <v>17827</v>
      </c>
      <c r="D385" s="34">
        <v>44662</v>
      </c>
      <c r="E385">
        <f t="shared" si="13"/>
        <v>20436</v>
      </c>
      <c r="G385" s="34">
        <v>44662</v>
      </c>
      <c r="H385" s="34" t="b">
        <f t="shared" si="14"/>
        <v>1</v>
      </c>
    </row>
    <row r="386" spans="1:8" ht="29.25" customHeight="1" x14ac:dyDescent="0.3">
      <c r="A386" s="38">
        <v>45420</v>
      </c>
      <c r="B386" s="37">
        <v>20753</v>
      </c>
      <c r="D386" s="34">
        <v>44663</v>
      </c>
      <c r="E386">
        <f t="shared" si="13"/>
        <v>20436</v>
      </c>
      <c r="G386" s="34">
        <v>44663</v>
      </c>
      <c r="H386" s="34" t="b">
        <f t="shared" si="14"/>
        <v>1</v>
      </c>
    </row>
    <row r="387" spans="1:8" ht="29.25" customHeight="1" x14ac:dyDescent="0.3">
      <c r="A387" s="38">
        <v>45427</v>
      </c>
      <c r="B387" s="37">
        <v>19115</v>
      </c>
      <c r="D387" s="34">
        <v>44664</v>
      </c>
      <c r="E387">
        <f t="shared" ref="E387:E450" si="15">LOOKUP(D387,A:A,B:B)</f>
        <v>19591</v>
      </c>
      <c r="G387" s="34">
        <v>44664</v>
      </c>
      <c r="H387" s="34" t="b">
        <f t="shared" ref="H387:H450" si="16">G387=D387</f>
        <v>1</v>
      </c>
    </row>
    <row r="388" spans="1:8" ht="29.25" customHeight="1" x14ac:dyDescent="0.3">
      <c r="A388" s="38">
        <v>45434</v>
      </c>
      <c r="B388" s="37">
        <v>15778</v>
      </c>
      <c r="D388" s="34">
        <v>44665</v>
      </c>
      <c r="E388">
        <f t="shared" si="15"/>
        <v>19591</v>
      </c>
      <c r="G388" s="34">
        <v>44665</v>
      </c>
      <c r="H388" s="34" t="b">
        <f t="shared" si="16"/>
        <v>1</v>
      </c>
    </row>
    <row r="389" spans="1:8" ht="29.25" customHeight="1" x14ac:dyDescent="0.3">
      <c r="A389" s="38">
        <v>45441</v>
      </c>
      <c r="B389" s="37">
        <v>16994</v>
      </c>
      <c r="D389" s="34">
        <v>44669</v>
      </c>
      <c r="E389">
        <f t="shared" si="15"/>
        <v>19591</v>
      </c>
      <c r="G389" s="34">
        <v>44669</v>
      </c>
      <c r="H389" s="34" t="b">
        <f t="shared" si="16"/>
        <v>1</v>
      </c>
    </row>
    <row r="390" spans="1:8" ht="29.25" customHeight="1" x14ac:dyDescent="0.3">
      <c r="A390" s="38">
        <v>45448</v>
      </c>
      <c r="B390" s="37">
        <v>18856</v>
      </c>
      <c r="D390" s="34">
        <v>44670</v>
      </c>
      <c r="E390">
        <f t="shared" si="15"/>
        <v>19591</v>
      </c>
      <c r="G390" s="34">
        <v>44670</v>
      </c>
      <c r="H390" s="34" t="b">
        <f t="shared" si="16"/>
        <v>1</v>
      </c>
    </row>
    <row r="391" spans="1:8" ht="29.25" customHeight="1" x14ac:dyDescent="0.3">
      <c r="A391" s="38">
        <v>45455</v>
      </c>
      <c r="B391" s="37">
        <v>19163</v>
      </c>
      <c r="D391" s="34">
        <v>44671</v>
      </c>
      <c r="E391">
        <f t="shared" si="15"/>
        <v>23103</v>
      </c>
      <c r="G391" s="34">
        <v>44671</v>
      </c>
      <c r="H391" s="34" t="b">
        <f t="shared" si="16"/>
        <v>1</v>
      </c>
    </row>
    <row r="392" spans="1:8" ht="29.25" customHeight="1" x14ac:dyDescent="0.3">
      <c r="A392" s="38">
        <v>45462</v>
      </c>
      <c r="B392" s="37">
        <v>22807</v>
      </c>
      <c r="D392" s="34">
        <v>44672</v>
      </c>
      <c r="E392">
        <f t="shared" si="15"/>
        <v>23103</v>
      </c>
      <c r="G392" s="34">
        <v>44672</v>
      </c>
      <c r="H392" s="34" t="b">
        <f t="shared" si="16"/>
        <v>1</v>
      </c>
    </row>
    <row r="393" spans="1:8" ht="29.25" customHeight="1" x14ac:dyDescent="0.3">
      <c r="A393" s="38">
        <v>45469</v>
      </c>
      <c r="B393" s="37">
        <v>19293</v>
      </c>
      <c r="D393" s="34">
        <v>44673</v>
      </c>
      <c r="E393">
        <f t="shared" si="15"/>
        <v>23103</v>
      </c>
      <c r="G393" s="34">
        <v>44673</v>
      </c>
      <c r="H393" s="34" t="b">
        <f t="shared" si="16"/>
        <v>1</v>
      </c>
    </row>
    <row r="394" spans="1:8" ht="29.25" customHeight="1" x14ac:dyDescent="0.3">
      <c r="A394" s="38">
        <v>45476</v>
      </c>
      <c r="B394" s="37">
        <v>19596</v>
      </c>
      <c r="D394" s="34">
        <v>44676</v>
      </c>
      <c r="E394">
        <f t="shared" si="15"/>
        <v>23103</v>
      </c>
      <c r="G394" s="34">
        <v>44676</v>
      </c>
      <c r="H394" s="34" t="b">
        <f t="shared" si="16"/>
        <v>1</v>
      </c>
    </row>
    <row r="395" spans="1:8" ht="29.25" customHeight="1" x14ac:dyDescent="0.3">
      <c r="A395" s="38">
        <v>45483</v>
      </c>
      <c r="B395" s="37">
        <v>17807</v>
      </c>
      <c r="D395" s="34">
        <v>44677</v>
      </c>
      <c r="E395">
        <f t="shared" si="15"/>
        <v>23103</v>
      </c>
      <c r="G395" s="34">
        <v>44677</v>
      </c>
      <c r="H395" s="34" t="b">
        <f t="shared" si="16"/>
        <v>1</v>
      </c>
    </row>
    <row r="396" spans="1:8" ht="29.25" customHeight="1" x14ac:dyDescent="0.3">
      <c r="A396" s="38">
        <v>45490</v>
      </c>
      <c r="B396" s="37">
        <v>20132</v>
      </c>
      <c r="D396" s="34">
        <v>44678</v>
      </c>
      <c r="E396">
        <f t="shared" si="15"/>
        <v>19144</v>
      </c>
      <c r="G396" s="34">
        <v>44678</v>
      </c>
      <c r="H396" s="34" t="b">
        <f t="shared" si="16"/>
        <v>1</v>
      </c>
    </row>
    <row r="397" spans="1:8" ht="29.25" customHeight="1" x14ac:dyDescent="0.3">
      <c r="A397" s="38">
        <v>45497</v>
      </c>
      <c r="B397" s="37">
        <v>19855</v>
      </c>
      <c r="D397" s="34">
        <v>44679</v>
      </c>
      <c r="E397">
        <f t="shared" si="15"/>
        <v>19144</v>
      </c>
      <c r="G397" s="34">
        <v>44679</v>
      </c>
      <c r="H397" s="34" t="b">
        <f t="shared" si="16"/>
        <v>1</v>
      </c>
    </row>
    <row r="398" spans="1:8" ht="29.25" customHeight="1" x14ac:dyDescent="0.3">
      <c r="A398" s="38">
        <v>45504</v>
      </c>
      <c r="B398" s="37">
        <v>19555</v>
      </c>
      <c r="D398" s="34">
        <v>44680</v>
      </c>
      <c r="E398">
        <f t="shared" si="15"/>
        <v>19144</v>
      </c>
      <c r="G398" s="34">
        <v>44680</v>
      </c>
      <c r="H398" s="34" t="b">
        <f t="shared" si="16"/>
        <v>1</v>
      </c>
    </row>
    <row r="399" spans="1:8" ht="29.25" customHeight="1" x14ac:dyDescent="0.3">
      <c r="A399" s="38">
        <v>45511</v>
      </c>
      <c r="B399" s="37">
        <v>19727</v>
      </c>
      <c r="D399" s="34">
        <v>44683</v>
      </c>
      <c r="E399">
        <f t="shared" si="15"/>
        <v>19144</v>
      </c>
      <c r="G399" s="34">
        <v>44683</v>
      </c>
      <c r="H399" s="34" t="b">
        <f t="shared" si="16"/>
        <v>1</v>
      </c>
    </row>
    <row r="400" spans="1:8" ht="29.25" customHeight="1" x14ac:dyDescent="0.3">
      <c r="A400" s="38">
        <v>45518</v>
      </c>
      <c r="B400" s="37">
        <v>18143</v>
      </c>
      <c r="D400" s="34">
        <v>44684</v>
      </c>
      <c r="E400">
        <f t="shared" si="15"/>
        <v>19144</v>
      </c>
      <c r="G400" s="34">
        <v>44684</v>
      </c>
      <c r="H400" s="34" t="b">
        <f t="shared" si="16"/>
        <v>1</v>
      </c>
    </row>
    <row r="401" spans="1:8" ht="29.25" customHeight="1" x14ac:dyDescent="0.3">
      <c r="A401" s="38">
        <v>45525</v>
      </c>
      <c r="B401" s="37">
        <v>19232</v>
      </c>
      <c r="D401" s="34">
        <v>44685</v>
      </c>
      <c r="E401">
        <f t="shared" si="15"/>
        <v>20529</v>
      </c>
      <c r="G401" s="34">
        <v>44685</v>
      </c>
      <c r="H401" s="34" t="b">
        <f t="shared" si="16"/>
        <v>1</v>
      </c>
    </row>
    <row r="402" spans="1:8" ht="29.25" customHeight="1" x14ac:dyDescent="0.3">
      <c r="A402" s="38">
        <v>45532</v>
      </c>
      <c r="B402" s="37">
        <v>18150</v>
      </c>
      <c r="D402" s="34">
        <v>44686</v>
      </c>
      <c r="E402">
        <f t="shared" si="15"/>
        <v>20529</v>
      </c>
      <c r="G402" s="34">
        <v>44686</v>
      </c>
      <c r="H402" s="34" t="b">
        <f t="shared" si="16"/>
        <v>1</v>
      </c>
    </row>
    <row r="403" spans="1:8" ht="29.25" customHeight="1" x14ac:dyDescent="0.3">
      <c r="A403" s="38">
        <v>45539</v>
      </c>
      <c r="B403" s="37">
        <v>18759</v>
      </c>
      <c r="D403" s="34">
        <v>44687</v>
      </c>
      <c r="E403">
        <f t="shared" si="15"/>
        <v>20529</v>
      </c>
      <c r="G403" s="34">
        <v>44687</v>
      </c>
      <c r="H403" s="34" t="b">
        <f t="shared" si="16"/>
        <v>1</v>
      </c>
    </row>
    <row r="404" spans="1:8" ht="29.25" customHeight="1" x14ac:dyDescent="0.3">
      <c r="A404" s="38">
        <v>45546</v>
      </c>
      <c r="B404" s="37">
        <v>16855</v>
      </c>
      <c r="D404" s="34">
        <v>44690</v>
      </c>
      <c r="E404">
        <f t="shared" si="15"/>
        <v>20529</v>
      </c>
      <c r="G404" s="34">
        <v>44690</v>
      </c>
      <c r="H404" s="34" t="b">
        <f t="shared" si="16"/>
        <v>1</v>
      </c>
    </row>
    <row r="405" spans="1:8" ht="29.25" customHeight="1" x14ac:dyDescent="0.3">
      <c r="A405" s="38">
        <v>45553</v>
      </c>
      <c r="B405" s="37">
        <v>18545</v>
      </c>
      <c r="D405" s="34">
        <v>44691</v>
      </c>
      <c r="E405">
        <f t="shared" si="15"/>
        <v>20529</v>
      </c>
      <c r="G405" s="34">
        <v>44691</v>
      </c>
      <c r="H405" s="34" t="b">
        <f t="shared" si="16"/>
        <v>1</v>
      </c>
    </row>
    <row r="406" spans="1:8" ht="29.25" customHeight="1" x14ac:dyDescent="0.3">
      <c r="A406" s="38">
        <v>45560</v>
      </c>
      <c r="B406" s="37">
        <v>15532</v>
      </c>
      <c r="D406" s="34">
        <v>44692</v>
      </c>
      <c r="E406">
        <f t="shared" si="15"/>
        <v>17456</v>
      </c>
      <c r="G406" s="34">
        <v>44692</v>
      </c>
      <c r="H406" s="34" t="b">
        <f t="shared" si="16"/>
        <v>1</v>
      </c>
    </row>
    <row r="407" spans="1:8" ht="29.25" customHeight="1" x14ac:dyDescent="0.3">
      <c r="A407" s="38">
        <v>45567</v>
      </c>
      <c r="B407" s="37">
        <v>16758</v>
      </c>
      <c r="D407" s="34">
        <v>44693</v>
      </c>
      <c r="E407">
        <f t="shared" si="15"/>
        <v>17456</v>
      </c>
      <c r="G407" s="34">
        <v>44693</v>
      </c>
      <c r="H407" s="34" t="b">
        <f t="shared" si="16"/>
        <v>1</v>
      </c>
    </row>
    <row r="408" spans="1:8" ht="29.25" customHeight="1" x14ac:dyDescent="0.3">
      <c r="A408" s="38">
        <v>45574</v>
      </c>
      <c r="B408" s="37">
        <v>17585</v>
      </c>
      <c r="D408" s="34">
        <v>44694</v>
      </c>
      <c r="E408">
        <f t="shared" si="15"/>
        <v>17456</v>
      </c>
      <c r="G408" s="34">
        <v>44694</v>
      </c>
      <c r="H408" s="34" t="b">
        <f t="shared" si="16"/>
        <v>1</v>
      </c>
    </row>
    <row r="409" spans="1:8" ht="29.25" customHeight="1" x14ac:dyDescent="0.3">
      <c r="A409" s="38">
        <v>45581</v>
      </c>
      <c r="B409" s="37">
        <v>17946</v>
      </c>
      <c r="D409" s="34">
        <v>44697</v>
      </c>
      <c r="E409">
        <f t="shared" si="15"/>
        <v>17456</v>
      </c>
      <c r="G409" s="34">
        <v>44697</v>
      </c>
      <c r="H409" s="34" t="b">
        <f t="shared" si="16"/>
        <v>1</v>
      </c>
    </row>
    <row r="410" spans="1:8" ht="29.25" customHeight="1" x14ac:dyDescent="0.3">
      <c r="A410" s="38">
        <v>45588</v>
      </c>
      <c r="B410" s="37">
        <v>20145</v>
      </c>
      <c r="D410" s="34">
        <v>44698</v>
      </c>
      <c r="E410">
        <f t="shared" si="15"/>
        <v>17456</v>
      </c>
      <c r="G410" s="34">
        <v>44698</v>
      </c>
      <c r="H410" s="34" t="b">
        <f t="shared" si="16"/>
        <v>1</v>
      </c>
    </row>
    <row r="411" spans="1:8" ht="29.25" customHeight="1" x14ac:dyDescent="0.3">
      <c r="A411" s="38">
        <v>45595</v>
      </c>
      <c r="B411" s="37">
        <v>15354</v>
      </c>
      <c r="D411" s="34">
        <v>44699</v>
      </c>
      <c r="E411">
        <f t="shared" si="15"/>
        <v>18767</v>
      </c>
      <c r="G411" s="34">
        <v>44699</v>
      </c>
      <c r="H411" s="34" t="b">
        <f t="shared" si="16"/>
        <v>1</v>
      </c>
    </row>
    <row r="412" spans="1:8" ht="29.25" customHeight="1" x14ac:dyDescent="0.3">
      <c r="A412" s="38">
        <v>45602</v>
      </c>
      <c r="B412" s="37">
        <v>18023</v>
      </c>
      <c r="D412" s="34">
        <v>44700</v>
      </c>
      <c r="E412">
        <f t="shared" si="15"/>
        <v>18767</v>
      </c>
      <c r="G412" s="34">
        <v>44700</v>
      </c>
      <c r="H412" s="34" t="b">
        <f t="shared" si="16"/>
        <v>1</v>
      </c>
    </row>
    <row r="413" spans="1:8" ht="29.25" customHeight="1" x14ac:dyDescent="0.3">
      <c r="A413" s="38">
        <v>45609</v>
      </c>
      <c r="B413" s="37">
        <v>18349</v>
      </c>
      <c r="D413" s="34">
        <v>44701</v>
      </c>
      <c r="E413">
        <f t="shared" si="15"/>
        <v>18767</v>
      </c>
      <c r="G413" s="34">
        <v>44701</v>
      </c>
      <c r="H413" s="34" t="b">
        <f t="shared" si="16"/>
        <v>1</v>
      </c>
    </row>
    <row r="414" spans="1:8" ht="29.25" customHeight="1" x14ac:dyDescent="0.3">
      <c r="A414" s="38">
        <v>45616</v>
      </c>
      <c r="B414" s="37">
        <v>16982</v>
      </c>
      <c r="D414" s="34">
        <v>44704</v>
      </c>
      <c r="E414">
        <f t="shared" si="15"/>
        <v>18767</v>
      </c>
      <c r="G414" s="34">
        <v>44704</v>
      </c>
      <c r="H414" s="34" t="b">
        <f t="shared" si="16"/>
        <v>1</v>
      </c>
    </row>
    <row r="415" spans="1:8" ht="29.25" customHeight="1" x14ac:dyDescent="0.3">
      <c r="A415" s="38">
        <v>45623</v>
      </c>
      <c r="B415" s="37">
        <v>19232</v>
      </c>
      <c r="D415" s="34">
        <v>44705</v>
      </c>
      <c r="E415">
        <f t="shared" si="15"/>
        <v>18767</v>
      </c>
      <c r="G415" s="34">
        <v>44705</v>
      </c>
      <c r="H415" s="34" t="b">
        <f t="shared" si="16"/>
        <v>1</v>
      </c>
    </row>
    <row r="416" spans="1:8" ht="29.25" customHeight="1" x14ac:dyDescent="0.3">
      <c r="A416" s="38">
        <v>45630</v>
      </c>
      <c r="B416" s="37">
        <v>18788</v>
      </c>
      <c r="D416" s="34">
        <v>44706</v>
      </c>
      <c r="E416">
        <f t="shared" si="15"/>
        <v>21106</v>
      </c>
      <c r="G416" s="34">
        <v>44706</v>
      </c>
      <c r="H416" s="34" t="b">
        <f t="shared" si="16"/>
        <v>1</v>
      </c>
    </row>
    <row r="417" spans="1:8" ht="29.25" customHeight="1" x14ac:dyDescent="0.3">
      <c r="A417" s="38">
        <v>45637</v>
      </c>
      <c r="B417" s="37">
        <v>17921</v>
      </c>
      <c r="D417" s="34">
        <v>44707</v>
      </c>
      <c r="E417">
        <f t="shared" si="15"/>
        <v>21106</v>
      </c>
      <c r="G417" s="34">
        <v>44707</v>
      </c>
      <c r="H417" s="34" t="b">
        <f t="shared" si="16"/>
        <v>1</v>
      </c>
    </row>
    <row r="418" spans="1:8" ht="29.25" customHeight="1" x14ac:dyDescent="0.3">
      <c r="A418" s="38">
        <v>45644</v>
      </c>
      <c r="B418" s="37">
        <v>28967</v>
      </c>
      <c r="D418" s="34">
        <v>44708</v>
      </c>
      <c r="E418">
        <f t="shared" si="15"/>
        <v>21106</v>
      </c>
      <c r="G418" s="34">
        <v>44708</v>
      </c>
      <c r="H418" s="34" t="b">
        <f t="shared" si="16"/>
        <v>1</v>
      </c>
    </row>
    <row r="419" spans="1:8" ht="29.25" customHeight="1" x14ac:dyDescent="0.3">
      <c r="A419" s="38">
        <v>45651</v>
      </c>
      <c r="B419" s="37">
        <v>21818</v>
      </c>
      <c r="D419" s="34">
        <v>44711</v>
      </c>
      <c r="E419">
        <f t="shared" si="15"/>
        <v>21106</v>
      </c>
      <c r="G419" s="34">
        <v>44711</v>
      </c>
      <c r="H419" s="34" t="b">
        <f t="shared" si="16"/>
        <v>1</v>
      </c>
    </row>
    <row r="420" spans="1:8" ht="29.25" customHeight="1" x14ac:dyDescent="0.3">
      <c r="A420" s="38">
        <v>45658</v>
      </c>
      <c r="B420" s="37">
        <v>20957</v>
      </c>
      <c r="D420" s="34">
        <v>44712</v>
      </c>
      <c r="E420">
        <f t="shared" si="15"/>
        <v>21106</v>
      </c>
      <c r="G420" s="34">
        <v>44712</v>
      </c>
      <c r="H420" s="34" t="b">
        <f t="shared" si="16"/>
        <v>1</v>
      </c>
    </row>
    <row r="421" spans="1:8" ht="29.25" customHeight="1" x14ac:dyDescent="0.3">
      <c r="A421" s="38">
        <v>45665</v>
      </c>
      <c r="B421" s="37">
        <v>21104</v>
      </c>
      <c r="D421" s="34">
        <v>44713</v>
      </c>
      <c r="E421">
        <f t="shared" si="15"/>
        <v>20582</v>
      </c>
      <c r="G421" s="34">
        <v>44713</v>
      </c>
      <c r="H421" s="34" t="b">
        <f t="shared" si="16"/>
        <v>1</v>
      </c>
    </row>
    <row r="422" spans="1:8" ht="29.25" customHeight="1" x14ac:dyDescent="0.3">
      <c r="A422" s="38">
        <v>45672</v>
      </c>
      <c r="B422" s="37">
        <v>20745</v>
      </c>
      <c r="D422" s="34">
        <v>44714</v>
      </c>
      <c r="E422">
        <f t="shared" si="15"/>
        <v>20582</v>
      </c>
      <c r="G422" s="34">
        <v>44714</v>
      </c>
      <c r="H422" s="34" t="b">
        <f t="shared" si="16"/>
        <v>1</v>
      </c>
    </row>
    <row r="423" spans="1:8" ht="29.25" customHeight="1" x14ac:dyDescent="0.3">
      <c r="A423" s="38">
        <v>45679</v>
      </c>
      <c r="B423" s="37">
        <v>21107</v>
      </c>
      <c r="D423" s="34">
        <v>44715</v>
      </c>
      <c r="E423">
        <f t="shared" si="15"/>
        <v>20582</v>
      </c>
      <c r="G423" s="34">
        <v>44715</v>
      </c>
      <c r="H423" s="34" t="b">
        <f t="shared" si="16"/>
        <v>1</v>
      </c>
    </row>
    <row r="424" spans="1:8" ht="29.25" customHeight="1" x14ac:dyDescent="0.3">
      <c r="A424" s="38">
        <v>45686</v>
      </c>
      <c r="B424" s="37">
        <v>18143</v>
      </c>
      <c r="D424" s="34">
        <v>44718</v>
      </c>
      <c r="E424">
        <f t="shared" si="15"/>
        <v>20582</v>
      </c>
      <c r="G424" s="34">
        <v>44718</v>
      </c>
      <c r="H424" s="34" t="b">
        <f t="shared" si="16"/>
        <v>1</v>
      </c>
    </row>
    <row r="425" spans="1:8" ht="29.25" customHeight="1" x14ac:dyDescent="0.3">
      <c r="A425" s="38">
        <v>45693</v>
      </c>
      <c r="B425" s="37">
        <v>19245</v>
      </c>
      <c r="D425" s="34">
        <v>44719</v>
      </c>
      <c r="E425">
        <f t="shared" si="15"/>
        <v>20582</v>
      </c>
      <c r="G425" s="34">
        <v>44719</v>
      </c>
      <c r="H425" s="34" t="b">
        <f t="shared" si="16"/>
        <v>1</v>
      </c>
    </row>
    <row r="426" spans="1:8" ht="29.25" customHeight="1" x14ac:dyDescent="0.3">
      <c r="A426" s="38">
        <v>45700</v>
      </c>
      <c r="B426" s="37">
        <v>20080</v>
      </c>
      <c r="D426" s="34">
        <v>44720</v>
      </c>
      <c r="E426">
        <f t="shared" si="15"/>
        <v>21422</v>
      </c>
      <c r="G426" s="34">
        <v>44720</v>
      </c>
      <c r="H426" s="34" t="b">
        <f t="shared" si="16"/>
        <v>1</v>
      </c>
    </row>
    <row r="427" spans="1:8" ht="29.25" customHeight="1" x14ac:dyDescent="0.3">
      <c r="A427" s="38">
        <v>45707</v>
      </c>
      <c r="B427" s="37">
        <v>18911</v>
      </c>
      <c r="D427" s="34">
        <v>44721</v>
      </c>
      <c r="E427">
        <f t="shared" si="15"/>
        <v>21422</v>
      </c>
      <c r="G427" s="34">
        <v>44721</v>
      </c>
      <c r="H427" s="34" t="b">
        <f t="shared" si="16"/>
        <v>1</v>
      </c>
    </row>
    <row r="428" spans="1:8" ht="29.25" customHeight="1" x14ac:dyDescent="0.3">
      <c r="A428" s="38">
        <v>45714</v>
      </c>
      <c r="B428" s="37">
        <v>17547</v>
      </c>
      <c r="D428" s="34">
        <v>44722</v>
      </c>
      <c r="E428">
        <f t="shared" si="15"/>
        <v>21422</v>
      </c>
      <c r="G428" s="34">
        <v>44722</v>
      </c>
      <c r="H428" s="34" t="b">
        <f t="shared" si="16"/>
        <v>1</v>
      </c>
    </row>
    <row r="429" spans="1:8" ht="29.25" customHeight="1" x14ac:dyDescent="0.3">
      <c r="A429" s="38">
        <v>45721</v>
      </c>
      <c r="B429" s="37">
        <v>15466</v>
      </c>
      <c r="D429" s="34">
        <v>44725</v>
      </c>
      <c r="E429">
        <f t="shared" si="15"/>
        <v>21422</v>
      </c>
      <c r="G429" s="34">
        <v>44725</v>
      </c>
      <c r="H429" s="34" t="b">
        <f t="shared" si="16"/>
        <v>1</v>
      </c>
    </row>
    <row r="430" spans="1:8" ht="29.25" customHeight="1" x14ac:dyDescent="0.3">
      <c r="A430" s="38">
        <v>45728</v>
      </c>
      <c r="B430" s="37">
        <v>17918</v>
      </c>
      <c r="D430" s="34">
        <v>44726</v>
      </c>
      <c r="E430">
        <f t="shared" si="15"/>
        <v>21422</v>
      </c>
      <c r="G430" s="34">
        <v>44726</v>
      </c>
      <c r="H430" s="34" t="b">
        <f t="shared" si="16"/>
        <v>1</v>
      </c>
    </row>
    <row r="431" spans="1:8" ht="29.25" customHeight="1" x14ac:dyDescent="0.3">
      <c r="A431" s="38">
        <v>45735</v>
      </c>
      <c r="B431" s="37">
        <v>19618</v>
      </c>
      <c r="D431" s="34">
        <v>44727</v>
      </c>
      <c r="E431">
        <f t="shared" si="15"/>
        <v>20194</v>
      </c>
      <c r="G431" s="34">
        <v>44727</v>
      </c>
      <c r="H431" s="34" t="b">
        <f t="shared" si="16"/>
        <v>1</v>
      </c>
    </row>
    <row r="432" spans="1:8" ht="29.25" customHeight="1" x14ac:dyDescent="0.3">
      <c r="A432" s="38">
        <v>45742</v>
      </c>
      <c r="B432" s="37">
        <v>21708</v>
      </c>
      <c r="D432" s="34">
        <v>44728</v>
      </c>
      <c r="E432">
        <f t="shared" si="15"/>
        <v>20194</v>
      </c>
      <c r="G432" s="34">
        <v>44728</v>
      </c>
      <c r="H432" s="34" t="b">
        <f t="shared" si="16"/>
        <v>1</v>
      </c>
    </row>
    <row r="433" spans="1:8" ht="29.25" customHeight="1" x14ac:dyDescent="0.3">
      <c r="A433" s="38">
        <v>45749</v>
      </c>
      <c r="B433" s="37">
        <v>21172</v>
      </c>
      <c r="D433" s="34">
        <v>44729</v>
      </c>
      <c r="E433">
        <f t="shared" si="15"/>
        <v>20194</v>
      </c>
      <c r="G433" s="34">
        <v>44729</v>
      </c>
      <c r="H433" s="34" t="b">
        <f t="shared" si="16"/>
        <v>1</v>
      </c>
    </row>
    <row r="434" spans="1:8" ht="29.25" customHeight="1" x14ac:dyDescent="0.3">
      <c r="A434" s="38">
        <v>45756</v>
      </c>
      <c r="B434" s="37">
        <v>22021</v>
      </c>
      <c r="D434" s="34">
        <v>44732</v>
      </c>
      <c r="E434">
        <f t="shared" si="15"/>
        <v>20194</v>
      </c>
      <c r="G434" s="34">
        <v>44732</v>
      </c>
      <c r="H434" s="34" t="b">
        <f t="shared" si="16"/>
        <v>1</v>
      </c>
    </row>
    <row r="435" spans="1:8" ht="29.25" customHeight="1" x14ac:dyDescent="0.3">
      <c r="A435" s="38">
        <v>45763</v>
      </c>
      <c r="B435" s="37">
        <v>22887</v>
      </c>
      <c r="D435" s="34">
        <v>44733</v>
      </c>
      <c r="E435">
        <f t="shared" si="15"/>
        <v>20194</v>
      </c>
      <c r="G435" s="34">
        <v>44733</v>
      </c>
      <c r="H435" s="34" t="b">
        <f t="shared" si="16"/>
        <v>1</v>
      </c>
    </row>
    <row r="436" spans="1:8" ht="29.25" customHeight="1" x14ac:dyDescent="0.3">
      <c r="A436" s="38">
        <v>45770</v>
      </c>
      <c r="B436" s="37">
        <v>24126</v>
      </c>
      <c r="D436" s="34">
        <v>44734</v>
      </c>
      <c r="E436">
        <f t="shared" si="15"/>
        <v>21348</v>
      </c>
      <c r="G436" s="34">
        <v>44734</v>
      </c>
      <c r="H436" s="34" t="b">
        <f t="shared" si="16"/>
        <v>1</v>
      </c>
    </row>
    <row r="437" spans="1:8" ht="29.25" customHeight="1" x14ac:dyDescent="0.3">
      <c r="A437" s="38">
        <v>45777</v>
      </c>
      <c r="B437" s="37">
        <v>22474</v>
      </c>
      <c r="D437" s="34">
        <v>44735</v>
      </c>
      <c r="E437">
        <f t="shared" si="15"/>
        <v>21348</v>
      </c>
      <c r="G437" s="34">
        <v>44735</v>
      </c>
      <c r="H437" s="34" t="b">
        <f t="shared" si="16"/>
        <v>1</v>
      </c>
    </row>
    <row r="438" spans="1:8" ht="29.25" customHeight="1" x14ac:dyDescent="0.3">
      <c r="A438" s="38">
        <v>45784</v>
      </c>
      <c r="B438" s="37">
        <v>20543</v>
      </c>
      <c r="D438" s="34">
        <v>44736</v>
      </c>
      <c r="E438">
        <f t="shared" si="15"/>
        <v>21348</v>
      </c>
      <c r="G438" s="34">
        <v>44736</v>
      </c>
      <c r="H438" s="34" t="b">
        <f t="shared" si="16"/>
        <v>1</v>
      </c>
    </row>
    <row r="439" spans="1:8" ht="29.25" customHeight="1" x14ac:dyDescent="0.3">
      <c r="A439" s="38">
        <v>45791</v>
      </c>
      <c r="B439" s="37">
        <v>19387</v>
      </c>
      <c r="D439" s="34">
        <v>44739</v>
      </c>
      <c r="E439">
        <f t="shared" si="15"/>
        <v>21348</v>
      </c>
      <c r="G439" s="34">
        <v>44739</v>
      </c>
      <c r="H439" s="34" t="b">
        <f t="shared" si="16"/>
        <v>1</v>
      </c>
    </row>
    <row r="440" spans="1:8" ht="29.25" customHeight="1" x14ac:dyDescent="0.3">
      <c r="A440" s="38">
        <v>45798</v>
      </c>
      <c r="B440" s="37">
        <v>21506</v>
      </c>
      <c r="D440" s="34">
        <v>44740</v>
      </c>
      <c r="E440">
        <f t="shared" si="15"/>
        <v>21348</v>
      </c>
      <c r="G440" s="34">
        <v>44740</v>
      </c>
      <c r="H440" s="34" t="b">
        <f t="shared" si="16"/>
        <v>1</v>
      </c>
    </row>
    <row r="441" spans="1:8" ht="29.25" customHeight="1" x14ac:dyDescent="0.3">
      <c r="A441" s="38">
        <v>45805</v>
      </c>
      <c r="B441" s="37">
        <v>22338</v>
      </c>
      <c r="D441" s="34">
        <v>44741</v>
      </c>
      <c r="E441">
        <f t="shared" si="15"/>
        <v>20768</v>
      </c>
      <c r="G441" s="34">
        <v>44741</v>
      </c>
      <c r="H441" s="34" t="b">
        <f t="shared" si="16"/>
        <v>1</v>
      </c>
    </row>
    <row r="442" spans="1:8" ht="29.25" customHeight="1" x14ac:dyDescent="0.3">
      <c r="A442" s="38">
        <v>45812</v>
      </c>
      <c r="B442" s="37">
        <v>22581</v>
      </c>
      <c r="D442" s="34">
        <v>44742</v>
      </c>
      <c r="E442">
        <f t="shared" si="15"/>
        <v>20768</v>
      </c>
      <c r="G442" s="34">
        <v>44742</v>
      </c>
      <c r="H442" s="34" t="b">
        <f t="shared" si="16"/>
        <v>1</v>
      </c>
    </row>
    <row r="443" spans="1:8" ht="29.25" customHeight="1" x14ac:dyDescent="0.3">
      <c r="A443" s="38">
        <v>45819</v>
      </c>
      <c r="B443" s="37">
        <v>23714</v>
      </c>
      <c r="D443" s="34">
        <v>44743</v>
      </c>
      <c r="E443">
        <f t="shared" si="15"/>
        <v>20768</v>
      </c>
      <c r="G443" s="34">
        <v>44743</v>
      </c>
      <c r="H443" s="34" t="b">
        <f t="shared" si="16"/>
        <v>1</v>
      </c>
    </row>
    <row r="444" spans="1:8" ht="29.25" customHeight="1" x14ac:dyDescent="0.3">
      <c r="A444" s="38">
        <v>45826</v>
      </c>
      <c r="B444" s="37">
        <v>21503</v>
      </c>
      <c r="D444" s="34">
        <v>44746</v>
      </c>
      <c r="E444">
        <f t="shared" si="15"/>
        <v>20768</v>
      </c>
      <c r="G444" s="34">
        <v>44746</v>
      </c>
      <c r="H444" s="34" t="b">
        <f t="shared" si="16"/>
        <v>1</v>
      </c>
    </row>
    <row r="445" spans="1:8" ht="29.25" customHeight="1" x14ac:dyDescent="0.3">
      <c r="A445" s="38">
        <v>45833</v>
      </c>
      <c r="B445" s="37">
        <v>22500</v>
      </c>
      <c r="D445" s="34">
        <v>44747</v>
      </c>
      <c r="E445">
        <f t="shared" si="15"/>
        <v>20768</v>
      </c>
      <c r="G445" s="34">
        <v>44747</v>
      </c>
      <c r="H445" s="34" t="b">
        <f t="shared" si="16"/>
        <v>1</v>
      </c>
    </row>
    <row r="446" spans="1:8" ht="29.25" customHeight="1" x14ac:dyDescent="0.3">
      <c r="A446" s="38">
        <v>45840</v>
      </c>
      <c r="B446" s="37">
        <v>23380</v>
      </c>
      <c r="D446" s="34">
        <v>44748</v>
      </c>
      <c r="E446">
        <f t="shared" si="15"/>
        <v>21408</v>
      </c>
      <c r="G446" s="34">
        <v>44748</v>
      </c>
      <c r="H446" s="34" t="b">
        <f t="shared" si="16"/>
        <v>1</v>
      </c>
    </row>
    <row r="447" spans="1:8" ht="29.25" customHeight="1" x14ac:dyDescent="0.3">
      <c r="A447" s="38">
        <v>45847</v>
      </c>
      <c r="B447" s="37">
        <v>24708</v>
      </c>
      <c r="D447" s="34">
        <v>44749</v>
      </c>
      <c r="E447">
        <f t="shared" si="15"/>
        <v>21408</v>
      </c>
      <c r="G447" s="34">
        <v>44749</v>
      </c>
      <c r="H447" s="34" t="b">
        <f t="shared" si="16"/>
        <v>1</v>
      </c>
    </row>
    <row r="448" spans="1:8" ht="29.25" customHeight="1" x14ac:dyDescent="0.3">
      <c r="A448" s="38">
        <v>45854</v>
      </c>
      <c r="B448" s="37">
        <v>23385</v>
      </c>
      <c r="D448" s="34">
        <v>44750</v>
      </c>
      <c r="E448">
        <f t="shared" si="15"/>
        <v>21408</v>
      </c>
      <c r="G448" s="34">
        <v>44750</v>
      </c>
      <c r="H448" s="34" t="b">
        <f t="shared" si="16"/>
        <v>1</v>
      </c>
    </row>
    <row r="449" spans="1:8" ht="29.25" customHeight="1" x14ac:dyDescent="0.3">
      <c r="A449" s="38">
        <v>45861</v>
      </c>
      <c r="B449" s="37">
        <v>23699</v>
      </c>
      <c r="D449" s="34">
        <v>44753</v>
      </c>
      <c r="E449">
        <f t="shared" si="15"/>
        <v>21408</v>
      </c>
      <c r="G449" s="34">
        <v>44753</v>
      </c>
      <c r="H449" s="34" t="b">
        <f t="shared" si="16"/>
        <v>1</v>
      </c>
    </row>
    <row r="450" spans="1:8" ht="29.25" customHeight="1" x14ac:dyDescent="0.3">
      <c r="A450" s="38">
        <v>45868</v>
      </c>
      <c r="B450" s="37">
        <v>24668</v>
      </c>
      <c r="D450" s="34">
        <v>44754</v>
      </c>
      <c r="E450">
        <f t="shared" si="15"/>
        <v>21408</v>
      </c>
      <c r="G450" s="34">
        <v>44754</v>
      </c>
      <c r="H450" s="34" t="b">
        <f t="shared" si="16"/>
        <v>1</v>
      </c>
    </row>
    <row r="451" spans="1:8" ht="29.25" customHeight="1" x14ac:dyDescent="0.3">
      <c r="A451" s="38">
        <v>45875</v>
      </c>
      <c r="B451" s="37">
        <v>26319</v>
      </c>
      <c r="D451" s="34">
        <v>44755</v>
      </c>
      <c r="E451">
        <f t="shared" ref="E451:E514" si="17">LOOKUP(D451,A:A,B:B)</f>
        <v>20821</v>
      </c>
      <c r="G451" s="34">
        <v>44755</v>
      </c>
      <c r="H451" s="34" t="b">
        <f t="shared" ref="H451:H514" si="18">G451=D451</f>
        <v>1</v>
      </c>
    </row>
    <row r="452" spans="1:8" ht="29.25" customHeight="1" x14ac:dyDescent="0.3">
      <c r="A452" s="38">
        <v>45882</v>
      </c>
      <c r="B452" s="37">
        <v>24645</v>
      </c>
      <c r="D452" s="34">
        <v>44756</v>
      </c>
      <c r="E452">
        <f t="shared" si="17"/>
        <v>20821</v>
      </c>
      <c r="G452" s="34">
        <v>44756</v>
      </c>
      <c r="H452" s="34" t="b">
        <f t="shared" si="18"/>
        <v>1</v>
      </c>
    </row>
    <row r="453" spans="1:8" ht="29.25" customHeight="1" x14ac:dyDescent="0.3">
      <c r="A453" s="38">
        <v>45889</v>
      </c>
      <c r="B453" s="37">
        <v>23035</v>
      </c>
      <c r="D453" s="34">
        <v>44757</v>
      </c>
      <c r="E453">
        <f t="shared" si="17"/>
        <v>20821</v>
      </c>
      <c r="G453" s="34">
        <v>44757</v>
      </c>
      <c r="H453" s="34" t="b">
        <f t="shared" si="18"/>
        <v>1</v>
      </c>
    </row>
    <row r="454" spans="1:8" ht="29.25" customHeight="1" x14ac:dyDescent="0.3">
      <c r="A454" s="38">
        <v>45896</v>
      </c>
      <c r="B454" s="37">
        <v>24724</v>
      </c>
      <c r="D454" s="34">
        <v>44760</v>
      </c>
      <c r="E454">
        <f t="shared" si="17"/>
        <v>20821</v>
      </c>
      <c r="G454" s="34">
        <v>44760</v>
      </c>
      <c r="H454" s="34" t="b">
        <f t="shared" si="18"/>
        <v>1</v>
      </c>
    </row>
    <row r="455" spans="1:8" ht="29.25" customHeight="1" x14ac:dyDescent="0.3">
      <c r="A455" s="38">
        <v>45903</v>
      </c>
      <c r="B455" s="37">
        <v>27399</v>
      </c>
      <c r="D455" s="34">
        <v>44761</v>
      </c>
      <c r="E455">
        <f t="shared" si="17"/>
        <v>20821</v>
      </c>
      <c r="G455" s="34">
        <v>44761</v>
      </c>
      <c r="H455" s="34" t="b">
        <f t="shared" si="18"/>
        <v>1</v>
      </c>
    </row>
    <row r="456" spans="1:8" ht="29.25" customHeight="1" x14ac:dyDescent="0.3">
      <c r="A456" s="38">
        <v>45910</v>
      </c>
      <c r="B456" s="37">
        <v>26528</v>
      </c>
      <c r="D456" s="34">
        <v>44762</v>
      </c>
      <c r="E456">
        <f t="shared" si="17"/>
        <v>19802</v>
      </c>
      <c r="G456" s="34">
        <v>44762</v>
      </c>
      <c r="H456" s="34" t="b">
        <f t="shared" si="18"/>
        <v>1</v>
      </c>
    </row>
    <row r="457" spans="1:8" ht="29.25" customHeight="1" x14ac:dyDescent="0.3">
      <c r="A457" s="38">
        <v>45917</v>
      </c>
      <c r="B457" s="37">
        <v>25410</v>
      </c>
      <c r="D457" s="34">
        <v>44763</v>
      </c>
      <c r="E457">
        <f t="shared" si="17"/>
        <v>19802</v>
      </c>
      <c r="G457" s="34">
        <v>44763</v>
      </c>
      <c r="H457" s="34" t="b">
        <f t="shared" si="18"/>
        <v>1</v>
      </c>
    </row>
    <row r="458" spans="1:8" ht="29.25" customHeight="1" x14ac:dyDescent="0.3">
      <c r="A458" s="38">
        <v>45924</v>
      </c>
      <c r="B458" s="37">
        <v>22804</v>
      </c>
      <c r="D458" s="34">
        <v>44764</v>
      </c>
      <c r="E458">
        <f t="shared" si="17"/>
        <v>19802</v>
      </c>
      <c r="G458" s="34">
        <v>44764</v>
      </c>
      <c r="H458" s="34" t="b">
        <f t="shared" si="18"/>
        <v>1</v>
      </c>
    </row>
    <row r="459" spans="1:8" ht="29.25" customHeight="1" x14ac:dyDescent="0.3">
      <c r="A459" s="38">
        <v>45931</v>
      </c>
      <c r="B459" s="37">
        <v>24561</v>
      </c>
      <c r="D459" s="34">
        <v>44767</v>
      </c>
      <c r="E459">
        <f t="shared" si="17"/>
        <v>19802</v>
      </c>
      <c r="G459" s="34">
        <v>44767</v>
      </c>
      <c r="H459" s="34" t="b">
        <f t="shared" si="18"/>
        <v>1</v>
      </c>
    </row>
    <row r="460" spans="1:8" ht="29.25" customHeight="1" x14ac:dyDescent="0.3">
      <c r="A460" s="38">
        <v>45938</v>
      </c>
      <c r="B460" s="37">
        <v>23669</v>
      </c>
      <c r="D460" s="34">
        <v>44768</v>
      </c>
      <c r="E460">
        <f t="shared" si="17"/>
        <v>19802</v>
      </c>
      <c r="G460" s="34">
        <v>44768</v>
      </c>
      <c r="H460" s="34" t="b">
        <f t="shared" si="18"/>
        <v>1</v>
      </c>
    </row>
    <row r="461" spans="1:8" ht="29.25" customHeight="1" x14ac:dyDescent="0.3">
      <c r="A461" s="38">
        <v>45945</v>
      </c>
      <c r="B461" s="37">
        <v>25063</v>
      </c>
      <c r="D461" s="34">
        <v>44769</v>
      </c>
      <c r="E461">
        <f t="shared" si="17"/>
        <v>18046</v>
      </c>
      <c r="G461" s="34">
        <v>44769</v>
      </c>
      <c r="H461" s="34" t="b">
        <f t="shared" si="18"/>
        <v>1</v>
      </c>
    </row>
    <row r="462" spans="1:8" ht="29.25" customHeight="1" x14ac:dyDescent="0.3">
      <c r="A462" s="38">
        <v>45952</v>
      </c>
      <c r="B462" s="37">
        <v>23027</v>
      </c>
      <c r="D462" s="34">
        <v>44770</v>
      </c>
      <c r="E462">
        <f t="shared" si="17"/>
        <v>18046</v>
      </c>
      <c r="G462" s="34">
        <v>44770</v>
      </c>
      <c r="H462" s="34" t="b">
        <f t="shared" si="18"/>
        <v>1</v>
      </c>
    </row>
    <row r="463" spans="1:8" ht="29.25" customHeight="1" x14ac:dyDescent="0.3">
      <c r="A463" s="38">
        <v>45959</v>
      </c>
      <c r="B463" s="37">
        <v>24781</v>
      </c>
      <c r="D463" s="34">
        <v>44771</v>
      </c>
      <c r="E463">
        <f t="shared" si="17"/>
        <v>18046</v>
      </c>
      <c r="G463" s="34">
        <v>44771</v>
      </c>
      <c r="H463" s="34" t="b">
        <f t="shared" si="18"/>
        <v>1</v>
      </c>
    </row>
    <row r="464" spans="1:8" ht="29.25" customHeight="1" x14ac:dyDescent="0.3">
      <c r="A464" s="38">
        <v>45966</v>
      </c>
      <c r="B464" s="37">
        <v>24482</v>
      </c>
      <c r="D464" s="34">
        <v>44774</v>
      </c>
      <c r="E464">
        <f t="shared" si="17"/>
        <v>18046</v>
      </c>
      <c r="G464" s="34">
        <v>44774</v>
      </c>
      <c r="H464" s="34" t="b">
        <f t="shared" si="18"/>
        <v>1</v>
      </c>
    </row>
    <row r="465" spans="1:8" ht="29.25" customHeight="1" x14ac:dyDescent="0.3">
      <c r="A465" s="38">
        <v>45973</v>
      </c>
      <c r="B465" s="37">
        <v>25952</v>
      </c>
      <c r="D465" s="34">
        <v>44775</v>
      </c>
      <c r="E465">
        <f t="shared" si="17"/>
        <v>18046</v>
      </c>
      <c r="G465" s="34">
        <v>44775</v>
      </c>
      <c r="H465" s="34" t="b">
        <f t="shared" si="18"/>
        <v>1</v>
      </c>
    </row>
    <row r="466" spans="1:8" ht="29.25" customHeight="1" x14ac:dyDescent="0.3">
      <c r="A466" s="38">
        <v>45980</v>
      </c>
      <c r="B466" s="37">
        <v>24518</v>
      </c>
      <c r="D466" s="34">
        <v>44776</v>
      </c>
      <c r="E466">
        <f t="shared" si="17"/>
        <v>18014</v>
      </c>
      <c r="G466" s="34">
        <v>44776</v>
      </c>
      <c r="H466" s="34" t="b">
        <f t="shared" si="18"/>
        <v>1</v>
      </c>
    </row>
    <row r="467" spans="1:8" ht="29.25" customHeight="1" x14ac:dyDescent="0.3">
      <c r="A467" s="38">
        <v>45987</v>
      </c>
      <c r="B467" s="37">
        <v>24709</v>
      </c>
      <c r="D467" s="34">
        <v>44777</v>
      </c>
      <c r="E467">
        <f t="shared" si="17"/>
        <v>18014</v>
      </c>
      <c r="G467" s="34">
        <v>44777</v>
      </c>
      <c r="H467" s="34" t="b">
        <f t="shared" si="18"/>
        <v>1</v>
      </c>
    </row>
    <row r="468" spans="1:8" ht="29.25" customHeight="1" x14ac:dyDescent="0.3">
      <c r="A468" s="38">
        <v>45994</v>
      </c>
      <c r="B468" s="37">
        <v>25559</v>
      </c>
      <c r="D468" s="34">
        <v>44778</v>
      </c>
      <c r="E468">
        <f t="shared" si="17"/>
        <v>18014</v>
      </c>
      <c r="G468" s="34">
        <v>44778</v>
      </c>
      <c r="H468" s="34" t="b">
        <f t="shared" si="18"/>
        <v>1</v>
      </c>
    </row>
    <row r="469" spans="1:8" ht="29.25" customHeight="1" x14ac:dyDescent="0.3">
      <c r="A469" s="38">
        <v>46001</v>
      </c>
      <c r="B469" s="37">
        <v>26062</v>
      </c>
      <c r="D469" s="34">
        <v>44781</v>
      </c>
      <c r="E469">
        <f t="shared" si="17"/>
        <v>18014</v>
      </c>
      <c r="G469" s="34">
        <v>44781</v>
      </c>
      <c r="H469" s="34" t="b">
        <f t="shared" si="18"/>
        <v>1</v>
      </c>
    </row>
    <row r="470" spans="1:8" ht="29.25" customHeight="1" x14ac:dyDescent="0.3">
      <c r="A470" s="38">
        <v>46008</v>
      </c>
      <c r="B470" s="37">
        <v>24658</v>
      </c>
      <c r="D470" s="34">
        <v>44782</v>
      </c>
      <c r="E470">
        <f t="shared" si="17"/>
        <v>18014</v>
      </c>
      <c r="G470" s="34">
        <v>44782</v>
      </c>
      <c r="H470" s="34" t="b">
        <f t="shared" si="18"/>
        <v>1</v>
      </c>
    </row>
    <row r="471" spans="1:8" ht="29.25" customHeight="1" x14ac:dyDescent="0.3">
      <c r="A471" s="38">
        <v>46015</v>
      </c>
      <c r="B471" s="37">
        <v>25716</v>
      </c>
      <c r="D471" s="34">
        <v>44783</v>
      </c>
      <c r="E471">
        <f t="shared" si="17"/>
        <v>17075</v>
      </c>
      <c r="G471" s="34">
        <v>44783</v>
      </c>
      <c r="H471" s="34" t="b">
        <f t="shared" si="18"/>
        <v>1</v>
      </c>
    </row>
    <row r="472" spans="1:8" ht="29.25" customHeight="1" x14ac:dyDescent="0.3">
      <c r="A472" s="38">
        <v>46022</v>
      </c>
      <c r="B472" s="37">
        <v>26752</v>
      </c>
      <c r="D472" s="34">
        <v>44784</v>
      </c>
      <c r="E472">
        <f t="shared" si="17"/>
        <v>17075</v>
      </c>
      <c r="G472" s="34">
        <v>44784</v>
      </c>
      <c r="H472" s="34" t="b">
        <f t="shared" si="18"/>
        <v>1</v>
      </c>
    </row>
    <row r="473" spans="1:8" ht="29.25" customHeight="1" x14ac:dyDescent="0.3">
      <c r="A473" s="38">
        <v>46029</v>
      </c>
      <c r="B473" s="37">
        <v>25408</v>
      </c>
      <c r="D473" s="34">
        <v>44785</v>
      </c>
      <c r="E473">
        <f t="shared" si="17"/>
        <v>17075</v>
      </c>
      <c r="G473" s="34">
        <v>44785</v>
      </c>
      <c r="H473" s="34" t="b">
        <f t="shared" si="18"/>
        <v>1</v>
      </c>
    </row>
    <row r="474" spans="1:8" ht="29.25" customHeight="1" x14ac:dyDescent="0.3">
      <c r="A474" s="38">
        <v>46036</v>
      </c>
      <c r="B474" s="37">
        <v>25473</v>
      </c>
      <c r="D474" s="34">
        <v>44788</v>
      </c>
      <c r="E474">
        <f t="shared" si="17"/>
        <v>17075</v>
      </c>
      <c r="G474" s="34">
        <v>44788</v>
      </c>
      <c r="H474" s="34" t="b">
        <f t="shared" si="18"/>
        <v>1</v>
      </c>
    </row>
    <row r="475" spans="1:8" ht="29.25" customHeight="1" x14ac:dyDescent="0.3">
      <c r="A475" s="38">
        <v>46043</v>
      </c>
      <c r="B475" s="37">
        <v>23378</v>
      </c>
      <c r="D475" s="34">
        <v>44789</v>
      </c>
      <c r="E475">
        <f t="shared" si="17"/>
        <v>17075</v>
      </c>
      <c r="G475" s="34">
        <v>44789</v>
      </c>
      <c r="H475" s="34" t="b">
        <f t="shared" si="18"/>
        <v>1</v>
      </c>
    </row>
    <row r="476" spans="1:8" ht="29.25" customHeight="1" x14ac:dyDescent="0.3">
      <c r="A476" s="38">
        <v>46050</v>
      </c>
      <c r="B476" s="37">
        <v>19938</v>
      </c>
      <c r="D476" s="34">
        <v>44790</v>
      </c>
      <c r="E476">
        <f t="shared" si="17"/>
        <v>18612</v>
      </c>
      <c r="G476" s="34">
        <v>44790</v>
      </c>
      <c r="H476" s="34" t="b">
        <f t="shared" si="18"/>
        <v>1</v>
      </c>
    </row>
    <row r="477" spans="1:8" ht="29.25" customHeight="1" x14ac:dyDescent="0.3">
      <c r="A477" s="38">
        <v>46057</v>
      </c>
      <c r="B477" s="37">
        <v>24199</v>
      </c>
      <c r="D477" s="34">
        <v>44791</v>
      </c>
      <c r="E477">
        <f t="shared" si="17"/>
        <v>18612</v>
      </c>
      <c r="G477" s="34">
        <v>44791</v>
      </c>
      <c r="H477" s="34" t="b">
        <f t="shared" si="18"/>
        <v>1</v>
      </c>
    </row>
    <row r="478" spans="1:8" ht="29.25" customHeight="1" x14ac:dyDescent="0.3">
      <c r="A478" s="38">
        <v>46064</v>
      </c>
      <c r="B478" s="37">
        <v>22700</v>
      </c>
      <c r="D478" s="34">
        <v>44792</v>
      </c>
      <c r="E478">
        <f t="shared" si="17"/>
        <v>18612</v>
      </c>
      <c r="G478" s="34">
        <v>44792</v>
      </c>
      <c r="H478" s="34" t="b">
        <f t="shared" si="18"/>
        <v>1</v>
      </c>
    </row>
    <row r="479" spans="1:8" ht="29.25" customHeight="1" x14ac:dyDescent="0.3">
      <c r="A479" s="38">
        <v>46071</v>
      </c>
      <c r="B479" s="37">
        <v>22519</v>
      </c>
      <c r="D479" s="34">
        <v>44795</v>
      </c>
      <c r="E479">
        <f t="shared" si="17"/>
        <v>18612</v>
      </c>
      <c r="G479" s="34">
        <v>44795</v>
      </c>
      <c r="H479" s="34" t="b">
        <f t="shared" si="18"/>
        <v>1</v>
      </c>
    </row>
    <row r="480" spans="1:8" ht="29.25" customHeight="1" x14ac:dyDescent="0.3">
      <c r="A480" s="38">
        <v>46078</v>
      </c>
      <c r="B480" s="37">
        <v>22632</v>
      </c>
      <c r="D480" s="34">
        <v>44796</v>
      </c>
      <c r="E480">
        <f t="shared" si="17"/>
        <v>18612</v>
      </c>
      <c r="G480" s="34">
        <v>44796</v>
      </c>
      <c r="H480" s="34" t="b">
        <f t="shared" si="18"/>
        <v>1</v>
      </c>
    </row>
    <row r="481" spans="1:8" ht="29.25" customHeight="1" x14ac:dyDescent="0.3">
      <c r="A481" s="38">
        <v>46085</v>
      </c>
      <c r="B481" s="37">
        <v>23286</v>
      </c>
      <c r="D481" s="34">
        <v>44797</v>
      </c>
      <c r="E481">
        <f t="shared" si="17"/>
        <v>21088</v>
      </c>
      <c r="G481" s="34">
        <v>44797</v>
      </c>
      <c r="H481" s="34" t="b">
        <f t="shared" si="18"/>
        <v>1</v>
      </c>
    </row>
    <row r="482" spans="1:8" ht="29.25" customHeight="1" x14ac:dyDescent="0.3">
      <c r="A482" s="38">
        <v>46092</v>
      </c>
      <c r="B482" s="37">
        <v>24157</v>
      </c>
      <c r="D482" s="34">
        <v>44798</v>
      </c>
      <c r="E482">
        <f t="shared" si="17"/>
        <v>21088</v>
      </c>
      <c r="G482" s="34">
        <v>44798</v>
      </c>
      <c r="H482" s="34" t="b">
        <f t="shared" si="18"/>
        <v>1</v>
      </c>
    </row>
    <row r="483" spans="1:8" ht="29.25" customHeight="1" x14ac:dyDescent="0.3">
      <c r="A483" s="38">
        <v>46099</v>
      </c>
      <c r="B483" s="37">
        <v>24038</v>
      </c>
      <c r="D483" s="34">
        <v>44799</v>
      </c>
      <c r="E483">
        <f t="shared" si="17"/>
        <v>21088</v>
      </c>
      <c r="G483" s="34">
        <v>44799</v>
      </c>
      <c r="H483" s="34" t="b">
        <f t="shared" si="18"/>
        <v>1</v>
      </c>
    </row>
    <row r="484" spans="1:8" ht="29.25" customHeight="1" x14ac:dyDescent="0.3">
      <c r="A484" s="38">
        <v>46106</v>
      </c>
      <c r="B484" s="37">
        <v>24509</v>
      </c>
      <c r="D484" s="34">
        <v>44802</v>
      </c>
      <c r="E484">
        <f t="shared" si="17"/>
        <v>21088</v>
      </c>
      <c r="G484" s="34">
        <v>44802</v>
      </c>
      <c r="H484" s="34" t="b">
        <f t="shared" si="18"/>
        <v>1</v>
      </c>
    </row>
    <row r="485" spans="1:8" ht="29.25" customHeight="1" x14ac:dyDescent="0.3">
      <c r="A485" s="38">
        <v>46113</v>
      </c>
      <c r="B485" s="37">
        <v>23465</v>
      </c>
      <c r="D485" s="34">
        <v>44803</v>
      </c>
      <c r="E485">
        <f t="shared" si="17"/>
        <v>21088</v>
      </c>
      <c r="G485" s="34">
        <v>44803</v>
      </c>
      <c r="H485" s="34" t="b">
        <f t="shared" si="18"/>
        <v>1</v>
      </c>
    </row>
    <row r="486" spans="1:8" ht="29.25" customHeight="1" x14ac:dyDescent="0.3">
      <c r="A486" s="38">
        <v>46120</v>
      </c>
      <c r="B486" s="37">
        <v>21722</v>
      </c>
      <c r="D486" s="34">
        <v>44804</v>
      </c>
      <c r="E486">
        <f t="shared" si="17"/>
        <v>22667</v>
      </c>
      <c r="G486" s="34">
        <v>44804</v>
      </c>
      <c r="H486" s="34" t="b">
        <f t="shared" si="18"/>
        <v>1</v>
      </c>
    </row>
    <row r="487" spans="1:8" ht="29.25" customHeight="1" x14ac:dyDescent="0.3">
      <c r="A487" s="35"/>
      <c r="D487" s="34">
        <v>44805</v>
      </c>
      <c r="E487">
        <f t="shared" si="17"/>
        <v>22667</v>
      </c>
      <c r="G487" s="34">
        <v>44805</v>
      </c>
      <c r="H487" s="34" t="b">
        <f t="shared" si="18"/>
        <v>1</v>
      </c>
    </row>
    <row r="488" spans="1:8" ht="29.25" customHeight="1" x14ac:dyDescent="0.3">
      <c r="A488" s="35"/>
      <c r="D488" s="34">
        <v>44806</v>
      </c>
      <c r="E488">
        <f t="shared" si="17"/>
        <v>22667</v>
      </c>
      <c r="G488" s="34">
        <v>44806</v>
      </c>
      <c r="H488" s="34" t="b">
        <f t="shared" si="18"/>
        <v>1</v>
      </c>
    </row>
    <row r="489" spans="1:8" ht="29.25" customHeight="1" x14ac:dyDescent="0.3">
      <c r="A489" s="35"/>
      <c r="D489" s="34">
        <v>44809</v>
      </c>
      <c r="E489">
        <f t="shared" si="17"/>
        <v>22667</v>
      </c>
      <c r="G489" s="34">
        <v>44809</v>
      </c>
      <c r="H489" s="34" t="b">
        <f t="shared" si="18"/>
        <v>1</v>
      </c>
    </row>
    <row r="490" spans="1:8" ht="29.25" customHeight="1" x14ac:dyDescent="0.3">
      <c r="A490" s="35"/>
      <c r="D490" s="34">
        <v>44810</v>
      </c>
      <c r="E490">
        <f t="shared" si="17"/>
        <v>22667</v>
      </c>
      <c r="G490" s="34">
        <v>44810</v>
      </c>
      <c r="H490" s="34" t="b">
        <f t="shared" si="18"/>
        <v>1</v>
      </c>
    </row>
    <row r="491" spans="1:8" ht="29.25" customHeight="1" x14ac:dyDescent="0.3">
      <c r="A491" s="35"/>
      <c r="D491" s="34">
        <v>44811</v>
      </c>
      <c r="E491">
        <f t="shared" si="17"/>
        <v>19938</v>
      </c>
      <c r="G491" s="34">
        <v>44811</v>
      </c>
      <c r="H491" s="34" t="b">
        <f t="shared" si="18"/>
        <v>1</v>
      </c>
    </row>
    <row r="492" spans="1:8" ht="29.25" customHeight="1" x14ac:dyDescent="0.3">
      <c r="A492" s="35"/>
      <c r="D492" s="34">
        <v>44812</v>
      </c>
      <c r="E492">
        <f t="shared" si="17"/>
        <v>19938</v>
      </c>
      <c r="G492" s="34">
        <v>44812</v>
      </c>
      <c r="H492" s="34" t="b">
        <f t="shared" si="18"/>
        <v>1</v>
      </c>
    </row>
    <row r="493" spans="1:8" ht="29.25" customHeight="1" x14ac:dyDescent="0.3">
      <c r="A493" s="35"/>
      <c r="D493" s="34">
        <v>44813</v>
      </c>
      <c r="E493">
        <f t="shared" si="17"/>
        <v>19938</v>
      </c>
      <c r="G493" s="34">
        <v>44813</v>
      </c>
      <c r="H493" s="34" t="b">
        <f t="shared" si="18"/>
        <v>1</v>
      </c>
    </row>
    <row r="494" spans="1:8" ht="29.25" customHeight="1" x14ac:dyDescent="0.3">
      <c r="A494" s="35"/>
      <c r="D494" s="34">
        <v>44816</v>
      </c>
      <c r="E494">
        <f t="shared" si="17"/>
        <v>19938</v>
      </c>
      <c r="G494" s="34">
        <v>44816</v>
      </c>
      <c r="H494" s="34" t="b">
        <f t="shared" si="18"/>
        <v>1</v>
      </c>
    </row>
    <row r="495" spans="1:8" ht="29.25" customHeight="1" x14ac:dyDescent="0.3">
      <c r="A495" s="35"/>
      <c r="D495" s="34">
        <v>44817</v>
      </c>
      <c r="E495">
        <f t="shared" si="17"/>
        <v>19938</v>
      </c>
      <c r="G495" s="34">
        <v>44817</v>
      </c>
      <c r="H495" s="34" t="b">
        <f t="shared" si="18"/>
        <v>1</v>
      </c>
    </row>
    <row r="496" spans="1:8" ht="29.25" customHeight="1" x14ac:dyDescent="0.3">
      <c r="A496" s="35"/>
      <c r="D496" s="34">
        <v>44818</v>
      </c>
      <c r="E496">
        <f t="shared" si="17"/>
        <v>19419</v>
      </c>
      <c r="G496" s="34">
        <v>44818</v>
      </c>
      <c r="H496" s="34" t="b">
        <f t="shared" si="18"/>
        <v>1</v>
      </c>
    </row>
    <row r="497" spans="1:8" ht="29.25" customHeight="1" x14ac:dyDescent="0.3">
      <c r="A497" s="35"/>
      <c r="D497" s="34">
        <v>44819</v>
      </c>
      <c r="E497">
        <f t="shared" si="17"/>
        <v>19419</v>
      </c>
      <c r="G497" s="34">
        <v>44819</v>
      </c>
      <c r="H497" s="34" t="b">
        <f t="shared" si="18"/>
        <v>1</v>
      </c>
    </row>
    <row r="498" spans="1:8" ht="29.25" customHeight="1" x14ac:dyDescent="0.3">
      <c r="A498" s="35"/>
      <c r="D498" s="34">
        <v>44820</v>
      </c>
      <c r="E498">
        <f t="shared" si="17"/>
        <v>19419</v>
      </c>
      <c r="G498" s="34">
        <v>44820</v>
      </c>
      <c r="H498" s="34" t="b">
        <f t="shared" si="18"/>
        <v>1</v>
      </c>
    </row>
    <row r="499" spans="1:8" ht="29.25" customHeight="1" x14ac:dyDescent="0.3">
      <c r="A499" s="35"/>
      <c r="D499" s="34">
        <v>44823</v>
      </c>
      <c r="E499">
        <f t="shared" si="17"/>
        <v>19419</v>
      </c>
      <c r="G499" s="34">
        <v>44823</v>
      </c>
      <c r="H499" s="34" t="b">
        <f t="shared" si="18"/>
        <v>1</v>
      </c>
    </row>
    <row r="500" spans="1:8" ht="29.25" customHeight="1" x14ac:dyDescent="0.3">
      <c r="A500" s="35"/>
      <c r="D500" s="34">
        <v>44824</v>
      </c>
      <c r="E500">
        <f t="shared" si="17"/>
        <v>19419</v>
      </c>
      <c r="G500" s="34">
        <v>44824</v>
      </c>
      <c r="H500" s="34" t="b">
        <f t="shared" si="18"/>
        <v>1</v>
      </c>
    </row>
    <row r="501" spans="1:8" ht="29.25" customHeight="1" x14ac:dyDescent="0.3">
      <c r="A501" s="35"/>
      <c r="D501" s="34">
        <v>44825</v>
      </c>
      <c r="E501">
        <f t="shared" si="17"/>
        <v>23400</v>
      </c>
      <c r="G501" s="34">
        <v>44825</v>
      </c>
      <c r="H501" s="34" t="b">
        <f t="shared" si="18"/>
        <v>1</v>
      </c>
    </row>
    <row r="502" spans="1:8" ht="29.25" customHeight="1" x14ac:dyDescent="0.3">
      <c r="A502" s="35"/>
      <c r="D502" s="34">
        <v>44826</v>
      </c>
      <c r="E502">
        <f t="shared" si="17"/>
        <v>23400</v>
      </c>
      <c r="G502" s="34">
        <v>44826</v>
      </c>
      <c r="H502" s="34" t="b">
        <f t="shared" si="18"/>
        <v>1</v>
      </c>
    </row>
    <row r="503" spans="1:8" ht="29.25" customHeight="1" x14ac:dyDescent="0.3">
      <c r="A503" s="35"/>
      <c r="D503" s="34">
        <v>44827</v>
      </c>
      <c r="E503">
        <f t="shared" si="17"/>
        <v>23400</v>
      </c>
      <c r="G503" s="34">
        <v>44827</v>
      </c>
      <c r="H503" s="34" t="b">
        <f t="shared" si="18"/>
        <v>1</v>
      </c>
    </row>
    <row r="504" spans="1:8" ht="29.25" customHeight="1" x14ac:dyDescent="0.3">
      <c r="A504" s="35"/>
      <c r="D504" s="34">
        <v>44830</v>
      </c>
      <c r="E504">
        <f t="shared" si="17"/>
        <v>23400</v>
      </c>
      <c r="G504" s="34">
        <v>44830</v>
      </c>
      <c r="H504" s="34" t="b">
        <f t="shared" si="18"/>
        <v>1</v>
      </c>
    </row>
    <row r="505" spans="1:8" ht="29.25" customHeight="1" x14ac:dyDescent="0.3">
      <c r="A505" s="35"/>
      <c r="D505" s="34">
        <v>44831</v>
      </c>
      <c r="E505">
        <f t="shared" si="17"/>
        <v>23400</v>
      </c>
      <c r="G505" s="34">
        <v>44831</v>
      </c>
      <c r="H505" s="34" t="b">
        <f t="shared" si="18"/>
        <v>1</v>
      </c>
    </row>
    <row r="506" spans="1:8" ht="29.25" customHeight="1" x14ac:dyDescent="0.3">
      <c r="A506" s="35"/>
      <c r="D506" s="34">
        <v>44832</v>
      </c>
      <c r="E506">
        <f t="shared" si="17"/>
        <v>22331</v>
      </c>
      <c r="G506" s="34">
        <v>44832</v>
      </c>
      <c r="H506" s="34" t="b">
        <f t="shared" si="18"/>
        <v>1</v>
      </c>
    </row>
    <row r="507" spans="1:8" ht="29.25" customHeight="1" x14ac:dyDescent="0.3">
      <c r="A507" s="35"/>
      <c r="D507" s="34">
        <v>44833</v>
      </c>
      <c r="E507">
        <f t="shared" si="17"/>
        <v>22331</v>
      </c>
      <c r="G507" s="34">
        <v>44833</v>
      </c>
      <c r="H507" s="34" t="b">
        <f t="shared" si="18"/>
        <v>1</v>
      </c>
    </row>
    <row r="508" spans="1:8" ht="29.25" customHeight="1" x14ac:dyDescent="0.3">
      <c r="A508" s="35"/>
      <c r="D508" s="34">
        <v>44834</v>
      </c>
      <c r="E508">
        <f t="shared" si="17"/>
        <v>22331</v>
      </c>
      <c r="G508" s="34">
        <v>44834</v>
      </c>
      <c r="H508" s="34" t="b">
        <f t="shared" si="18"/>
        <v>1</v>
      </c>
    </row>
    <row r="509" spans="1:8" ht="29.25" customHeight="1" x14ac:dyDescent="0.3">
      <c r="A509" s="35"/>
      <c r="D509" s="34">
        <v>44837</v>
      </c>
      <c r="E509">
        <f t="shared" si="17"/>
        <v>22331</v>
      </c>
      <c r="G509" s="34">
        <v>44837</v>
      </c>
      <c r="H509" s="34" t="b">
        <f t="shared" si="18"/>
        <v>1</v>
      </c>
    </row>
    <row r="510" spans="1:8" ht="29.25" customHeight="1" x14ac:dyDescent="0.3">
      <c r="A510" s="35"/>
      <c r="D510" s="34">
        <v>44838</v>
      </c>
      <c r="E510">
        <f t="shared" si="17"/>
        <v>22331</v>
      </c>
      <c r="G510" s="34">
        <v>44838</v>
      </c>
      <c r="H510" s="34" t="b">
        <f t="shared" si="18"/>
        <v>1</v>
      </c>
    </row>
    <row r="511" spans="1:8" ht="29.25" customHeight="1" x14ac:dyDescent="0.3">
      <c r="A511" s="35"/>
      <c r="D511" s="34">
        <v>44839</v>
      </c>
      <c r="E511">
        <f t="shared" si="17"/>
        <v>22899</v>
      </c>
      <c r="G511" s="34">
        <v>44839</v>
      </c>
      <c r="H511" s="34" t="b">
        <f t="shared" si="18"/>
        <v>1</v>
      </c>
    </row>
    <row r="512" spans="1:8" ht="29.25" customHeight="1" x14ac:dyDescent="0.3">
      <c r="A512" s="35"/>
      <c r="D512" s="34">
        <v>44840</v>
      </c>
      <c r="E512">
        <f t="shared" si="17"/>
        <v>22899</v>
      </c>
      <c r="G512" s="34">
        <v>44840</v>
      </c>
      <c r="H512" s="34" t="b">
        <f t="shared" si="18"/>
        <v>1</v>
      </c>
    </row>
    <row r="513" spans="1:8" ht="29.25" customHeight="1" x14ac:dyDescent="0.3">
      <c r="A513" s="35"/>
      <c r="D513" s="34">
        <v>44841</v>
      </c>
      <c r="E513">
        <f t="shared" si="17"/>
        <v>22899</v>
      </c>
      <c r="G513" s="34">
        <v>44841</v>
      </c>
      <c r="H513" s="34" t="b">
        <f t="shared" si="18"/>
        <v>1</v>
      </c>
    </row>
    <row r="514" spans="1:8" ht="29.25" customHeight="1" x14ac:dyDescent="0.3">
      <c r="A514" s="35"/>
      <c r="D514" s="34">
        <v>44844</v>
      </c>
      <c r="E514">
        <f t="shared" si="17"/>
        <v>22899</v>
      </c>
      <c r="G514" s="34">
        <v>44844</v>
      </c>
      <c r="H514" s="34" t="b">
        <f t="shared" si="18"/>
        <v>1</v>
      </c>
    </row>
    <row r="515" spans="1:8" ht="29.25" customHeight="1" x14ac:dyDescent="0.3">
      <c r="A515" s="35"/>
      <c r="D515" s="34">
        <v>44845</v>
      </c>
      <c r="E515">
        <f t="shared" ref="E515:E578" si="19">LOOKUP(D515,A:A,B:B)</f>
        <v>22899</v>
      </c>
      <c r="G515" s="34">
        <v>44845</v>
      </c>
      <c r="H515" s="34" t="b">
        <f t="shared" ref="H515:H578" si="20">G515=D515</f>
        <v>1</v>
      </c>
    </row>
    <row r="516" spans="1:8" ht="29.25" customHeight="1" x14ac:dyDescent="0.3">
      <c r="A516" s="35"/>
      <c r="D516" s="34">
        <v>44846</v>
      </c>
      <c r="E516">
        <f t="shared" si="19"/>
        <v>20201</v>
      </c>
      <c r="G516" s="34">
        <v>44846</v>
      </c>
      <c r="H516" s="34" t="b">
        <f t="shared" si="20"/>
        <v>1</v>
      </c>
    </row>
    <row r="517" spans="1:8" ht="29.25" customHeight="1" x14ac:dyDescent="0.3">
      <c r="A517" s="35"/>
      <c r="D517" s="34">
        <v>44847</v>
      </c>
      <c r="E517">
        <f t="shared" si="19"/>
        <v>20201</v>
      </c>
      <c r="G517" s="34">
        <v>44847</v>
      </c>
      <c r="H517" s="34" t="b">
        <f t="shared" si="20"/>
        <v>1</v>
      </c>
    </row>
    <row r="518" spans="1:8" ht="29.25" customHeight="1" x14ac:dyDescent="0.3">
      <c r="A518" s="35"/>
      <c r="D518" s="34">
        <v>44848</v>
      </c>
      <c r="E518">
        <f t="shared" si="19"/>
        <v>20201</v>
      </c>
      <c r="G518" s="34">
        <v>44848</v>
      </c>
      <c r="H518" s="34" t="b">
        <f t="shared" si="20"/>
        <v>1</v>
      </c>
    </row>
    <row r="519" spans="1:8" ht="29.25" customHeight="1" x14ac:dyDescent="0.3">
      <c r="A519" s="35"/>
      <c r="D519" s="34">
        <v>44851</v>
      </c>
      <c r="E519">
        <f t="shared" si="19"/>
        <v>20201</v>
      </c>
      <c r="G519" s="34">
        <v>44851</v>
      </c>
      <c r="H519" s="34" t="b">
        <f t="shared" si="20"/>
        <v>1</v>
      </c>
    </row>
    <row r="520" spans="1:8" ht="29.25" customHeight="1" x14ac:dyDescent="0.3">
      <c r="A520" s="35"/>
      <c r="D520" s="34">
        <v>44852</v>
      </c>
      <c r="E520">
        <f t="shared" si="19"/>
        <v>20201</v>
      </c>
      <c r="G520" s="34">
        <v>44852</v>
      </c>
      <c r="H520" s="34" t="b">
        <f t="shared" si="20"/>
        <v>1</v>
      </c>
    </row>
    <row r="521" spans="1:8" ht="29.25" customHeight="1" x14ac:dyDescent="0.3">
      <c r="A521" s="35"/>
      <c r="D521" s="34">
        <v>44853</v>
      </c>
      <c r="E521">
        <f t="shared" si="19"/>
        <v>21040</v>
      </c>
      <c r="G521" s="34">
        <v>44853</v>
      </c>
      <c r="H521" s="34" t="b">
        <f t="shared" si="20"/>
        <v>1</v>
      </c>
    </row>
    <row r="522" spans="1:8" ht="29.25" customHeight="1" x14ac:dyDescent="0.3">
      <c r="A522" s="35"/>
      <c r="D522" s="34">
        <v>44854</v>
      </c>
      <c r="E522">
        <f t="shared" si="19"/>
        <v>21040</v>
      </c>
      <c r="G522" s="34">
        <v>44854</v>
      </c>
      <c r="H522" s="34" t="b">
        <f t="shared" si="20"/>
        <v>1</v>
      </c>
    </row>
    <row r="523" spans="1:8" ht="29.25" customHeight="1" x14ac:dyDescent="0.3">
      <c r="A523" s="35"/>
      <c r="D523" s="34">
        <v>44855</v>
      </c>
      <c r="E523">
        <f t="shared" si="19"/>
        <v>21040</v>
      </c>
      <c r="G523" s="34">
        <v>44855</v>
      </c>
      <c r="H523" s="34" t="b">
        <f t="shared" si="20"/>
        <v>1</v>
      </c>
    </row>
    <row r="524" spans="1:8" ht="29.25" customHeight="1" x14ac:dyDescent="0.3">
      <c r="A524" s="35"/>
      <c r="D524" s="34">
        <v>44858</v>
      </c>
      <c r="E524">
        <f t="shared" si="19"/>
        <v>21040</v>
      </c>
      <c r="G524" s="34">
        <v>44858</v>
      </c>
      <c r="H524" s="34" t="b">
        <f t="shared" si="20"/>
        <v>1</v>
      </c>
    </row>
    <row r="525" spans="1:8" ht="29.25" customHeight="1" x14ac:dyDescent="0.3">
      <c r="A525" s="35"/>
      <c r="D525" s="34">
        <v>44859</v>
      </c>
      <c r="E525">
        <f t="shared" si="19"/>
        <v>21040</v>
      </c>
      <c r="G525" s="34">
        <v>44859</v>
      </c>
      <c r="H525" s="34" t="b">
        <f t="shared" si="20"/>
        <v>1</v>
      </c>
    </row>
    <row r="526" spans="1:8" ht="29.25" customHeight="1" x14ac:dyDescent="0.3">
      <c r="A526" s="35"/>
      <c r="D526" s="34">
        <v>44860</v>
      </c>
      <c r="E526">
        <f t="shared" si="19"/>
        <v>21145</v>
      </c>
      <c r="G526" s="34">
        <v>44860</v>
      </c>
      <c r="H526" s="34" t="b">
        <f t="shared" si="20"/>
        <v>1</v>
      </c>
    </row>
    <row r="527" spans="1:8" ht="29.25" customHeight="1" x14ac:dyDescent="0.3">
      <c r="A527" s="35"/>
      <c r="D527" s="34">
        <v>44861</v>
      </c>
      <c r="E527">
        <f t="shared" si="19"/>
        <v>21145</v>
      </c>
      <c r="G527" s="34">
        <v>44861</v>
      </c>
      <c r="H527" s="34" t="b">
        <f t="shared" si="20"/>
        <v>1</v>
      </c>
    </row>
    <row r="528" spans="1:8" ht="29.25" customHeight="1" x14ac:dyDescent="0.3">
      <c r="A528" s="35"/>
      <c r="D528" s="34">
        <v>44862</v>
      </c>
      <c r="E528">
        <f t="shared" si="19"/>
        <v>21145</v>
      </c>
      <c r="G528" s="34">
        <v>44862</v>
      </c>
      <c r="H528" s="34" t="b">
        <f t="shared" si="20"/>
        <v>1</v>
      </c>
    </row>
    <row r="529" spans="1:11" ht="29.25" customHeight="1" x14ac:dyDescent="0.3">
      <c r="A529" s="35"/>
      <c r="D529" s="34">
        <v>44865</v>
      </c>
      <c r="E529">
        <f t="shared" si="19"/>
        <v>21145</v>
      </c>
      <c r="G529" s="34">
        <v>44865</v>
      </c>
      <c r="H529" s="34" t="b">
        <f t="shared" si="20"/>
        <v>1</v>
      </c>
    </row>
    <row r="530" spans="1:11" ht="29.25" customHeight="1" x14ac:dyDescent="0.3">
      <c r="A530" s="35"/>
      <c r="D530" s="34">
        <v>44866</v>
      </c>
      <c r="E530">
        <f t="shared" si="19"/>
        <v>21145</v>
      </c>
      <c r="G530" s="34">
        <v>44866</v>
      </c>
      <c r="H530" s="34" t="b">
        <f t="shared" si="20"/>
        <v>1</v>
      </c>
    </row>
    <row r="531" spans="1:11" ht="29.25" customHeight="1" x14ac:dyDescent="0.3">
      <c r="A531" s="35"/>
      <c r="D531" s="34">
        <v>44867</v>
      </c>
      <c r="E531">
        <f t="shared" si="19"/>
        <v>18949</v>
      </c>
      <c r="G531" s="34">
        <v>44867</v>
      </c>
      <c r="H531" s="34" t="b">
        <f t="shared" si="20"/>
        <v>1</v>
      </c>
    </row>
    <row r="532" spans="1:11" ht="29.25" customHeight="1" x14ac:dyDescent="0.3">
      <c r="A532" s="35"/>
      <c r="D532" s="34">
        <v>44868</v>
      </c>
      <c r="E532">
        <f t="shared" si="19"/>
        <v>18949</v>
      </c>
      <c r="G532" s="34">
        <v>44868</v>
      </c>
      <c r="H532" s="34" t="b">
        <f t="shared" si="20"/>
        <v>1</v>
      </c>
    </row>
    <row r="533" spans="1:11" ht="29.25" customHeight="1" x14ac:dyDescent="0.3">
      <c r="A533" s="35"/>
      <c r="D533" s="34">
        <v>44869</v>
      </c>
      <c r="E533">
        <f t="shared" si="19"/>
        <v>18949</v>
      </c>
      <c r="G533" s="34">
        <v>44869</v>
      </c>
      <c r="H533" s="34" t="b">
        <f t="shared" si="20"/>
        <v>1</v>
      </c>
      <c r="K533" t="s">
        <v>357</v>
      </c>
    </row>
    <row r="534" spans="1:11" ht="29.25" customHeight="1" x14ac:dyDescent="0.3">
      <c r="A534" s="35"/>
      <c r="D534" s="34">
        <v>44872</v>
      </c>
      <c r="E534">
        <f t="shared" si="19"/>
        <v>18949</v>
      </c>
      <c r="G534" s="34">
        <v>44872</v>
      </c>
      <c r="H534" s="34" t="b">
        <f t="shared" si="20"/>
        <v>1</v>
      </c>
    </row>
    <row r="535" spans="1:11" ht="29.25" customHeight="1" x14ac:dyDescent="0.3">
      <c r="A535" s="35"/>
      <c r="D535" s="34">
        <v>44873</v>
      </c>
      <c r="E535">
        <f t="shared" si="19"/>
        <v>18949</v>
      </c>
      <c r="G535" s="34">
        <v>44873</v>
      </c>
      <c r="H535" s="34" t="b">
        <f t="shared" si="20"/>
        <v>1</v>
      </c>
    </row>
    <row r="536" spans="1:11" ht="29.25" customHeight="1" x14ac:dyDescent="0.3">
      <c r="A536" s="35"/>
      <c r="D536" s="34">
        <v>44874</v>
      </c>
      <c r="E536">
        <f t="shared" si="19"/>
        <v>21471</v>
      </c>
      <c r="G536" s="34">
        <v>44874</v>
      </c>
      <c r="H536" s="34" t="b">
        <f t="shared" si="20"/>
        <v>1</v>
      </c>
    </row>
    <row r="537" spans="1:11" ht="29.25" customHeight="1" x14ac:dyDescent="0.3">
      <c r="A537" s="35"/>
      <c r="D537" s="34">
        <v>44875</v>
      </c>
      <c r="E537">
        <f t="shared" si="19"/>
        <v>21471</v>
      </c>
      <c r="G537" s="34">
        <v>44875</v>
      </c>
      <c r="H537" s="34" t="b">
        <f t="shared" si="20"/>
        <v>1</v>
      </c>
    </row>
    <row r="538" spans="1:11" ht="29.25" customHeight="1" x14ac:dyDescent="0.3">
      <c r="A538" s="35"/>
      <c r="D538" s="34">
        <v>44876</v>
      </c>
      <c r="E538">
        <f t="shared" si="19"/>
        <v>21471</v>
      </c>
      <c r="G538" s="34">
        <v>44876</v>
      </c>
      <c r="H538" s="34" t="b">
        <f t="shared" si="20"/>
        <v>1</v>
      </c>
    </row>
    <row r="539" spans="1:11" ht="29.25" customHeight="1" x14ac:dyDescent="0.3">
      <c r="A539" s="35"/>
      <c r="D539" s="34">
        <v>44879</v>
      </c>
      <c r="E539">
        <f t="shared" si="19"/>
        <v>21471</v>
      </c>
      <c r="G539" s="34">
        <v>44879</v>
      </c>
      <c r="H539" s="34" t="b">
        <f t="shared" si="20"/>
        <v>1</v>
      </c>
    </row>
    <row r="540" spans="1:11" ht="29.25" customHeight="1" x14ac:dyDescent="0.3">
      <c r="A540" s="35"/>
      <c r="D540" s="34">
        <v>44880</v>
      </c>
      <c r="E540">
        <f t="shared" si="19"/>
        <v>21471</v>
      </c>
      <c r="G540" s="34">
        <v>44880</v>
      </c>
      <c r="H540" s="34" t="b">
        <f t="shared" si="20"/>
        <v>1</v>
      </c>
    </row>
    <row r="541" spans="1:11" ht="29.25" customHeight="1" x14ac:dyDescent="0.3">
      <c r="A541" s="35"/>
      <c r="D541" s="34">
        <v>44881</v>
      </c>
      <c r="E541">
        <f t="shared" si="19"/>
        <v>21168</v>
      </c>
      <c r="G541" s="34">
        <v>44881</v>
      </c>
      <c r="H541" s="34" t="b">
        <f t="shared" si="20"/>
        <v>1</v>
      </c>
    </row>
    <row r="542" spans="1:11" ht="29.25" customHeight="1" x14ac:dyDescent="0.3">
      <c r="A542" s="35"/>
      <c r="D542" s="34">
        <v>44882</v>
      </c>
      <c r="E542">
        <f t="shared" si="19"/>
        <v>21168</v>
      </c>
      <c r="G542" s="34">
        <v>44882</v>
      </c>
      <c r="H542" s="34" t="b">
        <f t="shared" si="20"/>
        <v>1</v>
      </c>
    </row>
    <row r="543" spans="1:11" ht="29.25" customHeight="1" x14ac:dyDescent="0.3">
      <c r="A543" s="39"/>
      <c r="D543" s="34">
        <v>44883</v>
      </c>
      <c r="E543">
        <f t="shared" si="19"/>
        <v>21168</v>
      </c>
      <c r="G543" s="34">
        <v>44883</v>
      </c>
      <c r="H543" s="34" t="b">
        <f t="shared" si="20"/>
        <v>1</v>
      </c>
    </row>
    <row r="544" spans="1:11" ht="29.25" customHeight="1" x14ac:dyDescent="0.3">
      <c r="A544" s="39"/>
      <c r="D544" s="34">
        <v>44886</v>
      </c>
      <c r="E544">
        <f t="shared" si="19"/>
        <v>21168</v>
      </c>
      <c r="G544" s="34">
        <v>44886</v>
      </c>
      <c r="H544" s="34" t="b">
        <f t="shared" si="20"/>
        <v>1</v>
      </c>
    </row>
    <row r="545" spans="1:8" ht="29.25" customHeight="1" x14ac:dyDescent="0.3">
      <c r="A545" s="39"/>
      <c r="D545" s="34">
        <v>44887</v>
      </c>
      <c r="E545">
        <f t="shared" si="19"/>
        <v>21168</v>
      </c>
      <c r="G545" s="34">
        <v>44887</v>
      </c>
      <c r="H545" s="34" t="b">
        <f t="shared" si="20"/>
        <v>1</v>
      </c>
    </row>
    <row r="546" spans="1:8" ht="29.25" customHeight="1" x14ac:dyDescent="0.3">
      <c r="A546" s="39"/>
      <c r="D546" s="34">
        <v>44888</v>
      </c>
      <c r="E546">
        <f t="shared" si="19"/>
        <v>19728</v>
      </c>
      <c r="G546" s="34">
        <v>44888</v>
      </c>
      <c r="H546" s="34" t="b">
        <f t="shared" si="20"/>
        <v>1</v>
      </c>
    </row>
    <row r="547" spans="1:8" ht="29.25" customHeight="1" x14ac:dyDescent="0.3">
      <c r="A547" s="39"/>
      <c r="D547" s="34">
        <v>44889</v>
      </c>
      <c r="E547">
        <f t="shared" si="19"/>
        <v>19728</v>
      </c>
      <c r="G547" s="34">
        <v>44889</v>
      </c>
      <c r="H547" s="34" t="b">
        <f t="shared" si="20"/>
        <v>1</v>
      </c>
    </row>
    <row r="548" spans="1:8" ht="29.25" customHeight="1" x14ac:dyDescent="0.3">
      <c r="A548" s="39"/>
      <c r="D548" s="34">
        <v>44890</v>
      </c>
      <c r="E548">
        <f t="shared" si="19"/>
        <v>19728</v>
      </c>
      <c r="G548" s="34">
        <v>44890</v>
      </c>
      <c r="H548" s="34" t="b">
        <f t="shared" si="20"/>
        <v>1</v>
      </c>
    </row>
    <row r="549" spans="1:8" ht="29.25" customHeight="1" x14ac:dyDescent="0.3">
      <c r="A549" s="39"/>
      <c r="D549" s="34">
        <v>44893</v>
      </c>
      <c r="E549">
        <f t="shared" si="19"/>
        <v>19728</v>
      </c>
      <c r="G549" s="34">
        <v>44893</v>
      </c>
      <c r="H549" s="34" t="b">
        <f t="shared" si="20"/>
        <v>1</v>
      </c>
    </row>
    <row r="550" spans="1:8" ht="29.25" customHeight="1" x14ac:dyDescent="0.3">
      <c r="A550" s="39"/>
      <c r="D550" s="34">
        <v>44894</v>
      </c>
      <c r="E550">
        <f t="shared" si="19"/>
        <v>19728</v>
      </c>
      <c r="G550" s="34">
        <v>44894</v>
      </c>
      <c r="H550" s="34" t="b">
        <f t="shared" si="20"/>
        <v>1</v>
      </c>
    </row>
    <row r="551" spans="1:8" ht="29.25" customHeight="1" x14ac:dyDescent="0.3">
      <c r="D551" s="34">
        <v>44895</v>
      </c>
      <c r="E551">
        <f t="shared" si="19"/>
        <v>19894</v>
      </c>
      <c r="G551" s="34">
        <v>44895</v>
      </c>
      <c r="H551" s="34" t="b">
        <f t="shared" si="20"/>
        <v>1</v>
      </c>
    </row>
    <row r="552" spans="1:8" ht="29.25" customHeight="1" x14ac:dyDescent="0.3">
      <c r="D552" s="34">
        <v>44896</v>
      </c>
      <c r="E552">
        <f t="shared" si="19"/>
        <v>19894</v>
      </c>
      <c r="G552" s="34">
        <v>44896</v>
      </c>
      <c r="H552" s="34" t="b">
        <f t="shared" si="20"/>
        <v>1</v>
      </c>
    </row>
    <row r="553" spans="1:8" ht="29.25" customHeight="1" x14ac:dyDescent="0.3">
      <c r="D553" s="34">
        <v>44897</v>
      </c>
      <c r="E553">
        <f t="shared" si="19"/>
        <v>19894</v>
      </c>
      <c r="G553" s="34">
        <v>44897</v>
      </c>
      <c r="H553" s="34" t="b">
        <f t="shared" si="20"/>
        <v>1</v>
      </c>
    </row>
    <row r="554" spans="1:8" ht="29.25" customHeight="1" x14ac:dyDescent="0.3">
      <c r="D554" s="34">
        <v>44900</v>
      </c>
      <c r="E554">
        <f t="shared" si="19"/>
        <v>19894</v>
      </c>
      <c r="G554" s="34">
        <v>44900</v>
      </c>
      <c r="H554" s="34" t="b">
        <f t="shared" si="20"/>
        <v>1</v>
      </c>
    </row>
    <row r="555" spans="1:8" ht="29.25" customHeight="1" x14ac:dyDescent="0.3">
      <c r="D555" s="34">
        <v>44901</v>
      </c>
      <c r="E555">
        <f t="shared" si="19"/>
        <v>19894</v>
      </c>
      <c r="G555" s="34">
        <v>44901</v>
      </c>
      <c r="H555" s="34" t="b">
        <f t="shared" si="20"/>
        <v>1</v>
      </c>
    </row>
    <row r="556" spans="1:8" ht="29.25" customHeight="1" x14ac:dyDescent="0.3">
      <c r="D556" s="34">
        <v>44902</v>
      </c>
      <c r="E556">
        <f t="shared" si="19"/>
        <v>20306</v>
      </c>
      <c r="G556" s="34">
        <v>44902</v>
      </c>
      <c r="H556" s="34" t="b">
        <f t="shared" si="20"/>
        <v>1</v>
      </c>
    </row>
    <row r="557" spans="1:8" ht="29.25" customHeight="1" x14ac:dyDescent="0.3">
      <c r="D557" s="34">
        <v>44903</v>
      </c>
      <c r="E557">
        <f t="shared" si="19"/>
        <v>20306</v>
      </c>
      <c r="G557" s="34">
        <v>44903</v>
      </c>
      <c r="H557" s="34" t="b">
        <f t="shared" si="20"/>
        <v>1</v>
      </c>
    </row>
    <row r="558" spans="1:8" ht="29.25" customHeight="1" x14ac:dyDescent="0.3">
      <c r="D558" s="34">
        <v>44904</v>
      </c>
      <c r="E558">
        <f t="shared" si="19"/>
        <v>20306</v>
      </c>
      <c r="G558" s="34">
        <v>44904</v>
      </c>
      <c r="H558" s="34" t="b">
        <f t="shared" si="20"/>
        <v>1</v>
      </c>
    </row>
    <row r="559" spans="1:8" ht="29.25" customHeight="1" x14ac:dyDescent="0.3">
      <c r="D559" s="34">
        <v>44907</v>
      </c>
      <c r="E559">
        <f t="shared" si="19"/>
        <v>20306</v>
      </c>
      <c r="G559" s="34">
        <v>44907</v>
      </c>
      <c r="H559" s="34" t="b">
        <f t="shared" si="20"/>
        <v>1</v>
      </c>
    </row>
    <row r="560" spans="1:8" ht="29.25" customHeight="1" x14ac:dyDescent="0.3">
      <c r="D560" s="34">
        <v>44908</v>
      </c>
      <c r="E560">
        <f t="shared" si="19"/>
        <v>20306</v>
      </c>
      <c r="G560" s="34">
        <v>44908</v>
      </c>
      <c r="H560" s="34" t="b">
        <f t="shared" si="20"/>
        <v>1</v>
      </c>
    </row>
    <row r="561" spans="4:8" ht="29.25" customHeight="1" x14ac:dyDescent="0.3">
      <c r="D561" s="34">
        <v>44909</v>
      </c>
      <c r="E561">
        <f t="shared" si="19"/>
        <v>20089</v>
      </c>
      <c r="G561" s="34">
        <v>44909</v>
      </c>
      <c r="H561" s="34" t="b">
        <f t="shared" si="20"/>
        <v>1</v>
      </c>
    </row>
    <row r="562" spans="4:8" ht="29.25" customHeight="1" x14ac:dyDescent="0.3">
      <c r="D562" s="34">
        <v>44910</v>
      </c>
      <c r="E562">
        <f t="shared" si="19"/>
        <v>20089</v>
      </c>
      <c r="G562" s="34">
        <v>44910</v>
      </c>
      <c r="H562" s="34" t="b">
        <f t="shared" si="20"/>
        <v>1</v>
      </c>
    </row>
    <row r="563" spans="4:8" ht="29.25" customHeight="1" x14ac:dyDescent="0.3">
      <c r="D563" s="34">
        <v>44911</v>
      </c>
      <c r="E563">
        <f t="shared" si="19"/>
        <v>20089</v>
      </c>
      <c r="G563" s="34">
        <v>44911</v>
      </c>
      <c r="H563" s="34" t="b">
        <f t="shared" si="20"/>
        <v>1</v>
      </c>
    </row>
    <row r="564" spans="4:8" ht="29.25" customHeight="1" x14ac:dyDescent="0.3">
      <c r="D564" s="34">
        <v>44914</v>
      </c>
      <c r="E564">
        <f t="shared" si="19"/>
        <v>20089</v>
      </c>
      <c r="G564" s="34">
        <v>44914</v>
      </c>
      <c r="H564" s="34" t="b">
        <f t="shared" si="20"/>
        <v>1</v>
      </c>
    </row>
    <row r="565" spans="4:8" ht="29.25" customHeight="1" x14ac:dyDescent="0.3">
      <c r="D565" s="34">
        <v>44915</v>
      </c>
      <c r="E565">
        <f t="shared" si="19"/>
        <v>20089</v>
      </c>
      <c r="G565" s="34">
        <v>44915</v>
      </c>
      <c r="H565" s="34" t="b">
        <f t="shared" si="20"/>
        <v>1</v>
      </c>
    </row>
    <row r="566" spans="4:8" ht="29.25" customHeight="1" x14ac:dyDescent="0.3">
      <c r="D566" s="34">
        <v>44916</v>
      </c>
      <c r="E566">
        <f t="shared" si="19"/>
        <v>21403</v>
      </c>
      <c r="G566" s="34">
        <v>44916</v>
      </c>
      <c r="H566" s="34" t="b">
        <f t="shared" si="20"/>
        <v>1</v>
      </c>
    </row>
    <row r="567" spans="4:8" ht="29.25" customHeight="1" x14ac:dyDescent="0.3">
      <c r="D567" s="34">
        <v>44917</v>
      </c>
      <c r="E567">
        <f t="shared" si="19"/>
        <v>21403</v>
      </c>
      <c r="G567" s="34">
        <v>44917</v>
      </c>
      <c r="H567" s="34" t="b">
        <f t="shared" si="20"/>
        <v>1</v>
      </c>
    </row>
    <row r="568" spans="4:8" ht="29.25" customHeight="1" x14ac:dyDescent="0.3">
      <c r="D568" s="34">
        <v>44918</v>
      </c>
      <c r="E568">
        <f t="shared" si="19"/>
        <v>21403</v>
      </c>
      <c r="G568" s="34">
        <v>44918</v>
      </c>
      <c r="H568" s="34" t="b">
        <f t="shared" si="20"/>
        <v>1</v>
      </c>
    </row>
    <row r="569" spans="4:8" ht="29.25" customHeight="1" x14ac:dyDescent="0.3">
      <c r="D569" s="34">
        <v>44922</v>
      </c>
      <c r="E569">
        <f t="shared" si="19"/>
        <v>21403</v>
      </c>
      <c r="G569" s="34">
        <v>44922</v>
      </c>
      <c r="H569" s="34" t="b">
        <f t="shared" si="20"/>
        <v>1</v>
      </c>
    </row>
    <row r="570" spans="4:8" ht="29.25" customHeight="1" x14ac:dyDescent="0.3">
      <c r="D570" s="34">
        <v>44923</v>
      </c>
      <c r="E570">
        <f t="shared" si="19"/>
        <v>20942</v>
      </c>
      <c r="G570" s="34">
        <v>44923</v>
      </c>
      <c r="H570" s="34" t="b">
        <f t="shared" si="20"/>
        <v>1</v>
      </c>
    </row>
    <row r="571" spans="4:8" ht="29.25" customHeight="1" x14ac:dyDescent="0.3">
      <c r="D571" s="34">
        <v>44924</v>
      </c>
      <c r="E571">
        <f t="shared" si="19"/>
        <v>20942</v>
      </c>
      <c r="G571" s="34">
        <v>44924</v>
      </c>
      <c r="H571" s="34" t="b">
        <f t="shared" si="20"/>
        <v>1</v>
      </c>
    </row>
    <row r="572" spans="4:8" ht="29.25" customHeight="1" x14ac:dyDescent="0.3">
      <c r="D572" s="34">
        <v>44925</v>
      </c>
      <c r="E572">
        <f t="shared" si="19"/>
        <v>20942</v>
      </c>
      <c r="G572" s="34">
        <v>44925</v>
      </c>
      <c r="H572" s="34" t="b">
        <f t="shared" si="20"/>
        <v>1</v>
      </c>
    </row>
    <row r="573" spans="4:8" ht="29.25" customHeight="1" x14ac:dyDescent="0.3">
      <c r="D573" s="34">
        <v>44929</v>
      </c>
      <c r="E573">
        <f t="shared" si="19"/>
        <v>20942</v>
      </c>
      <c r="G573" s="34">
        <v>44929</v>
      </c>
      <c r="H573" s="34" t="b">
        <f t="shared" si="20"/>
        <v>1</v>
      </c>
    </row>
    <row r="574" spans="4:8" ht="29.25" customHeight="1" x14ac:dyDescent="0.3">
      <c r="D574" s="34">
        <v>44930</v>
      </c>
      <c r="E574">
        <f t="shared" si="19"/>
        <v>21333</v>
      </c>
      <c r="G574" s="34">
        <v>44930</v>
      </c>
      <c r="H574" s="34" t="b">
        <f t="shared" si="20"/>
        <v>1</v>
      </c>
    </row>
    <row r="575" spans="4:8" ht="29.25" customHeight="1" x14ac:dyDescent="0.3">
      <c r="D575" s="34">
        <v>44931</v>
      </c>
      <c r="E575">
        <f t="shared" si="19"/>
        <v>21333</v>
      </c>
      <c r="G575" s="34">
        <v>44931</v>
      </c>
      <c r="H575" s="34" t="b">
        <f t="shared" si="20"/>
        <v>1</v>
      </c>
    </row>
    <row r="576" spans="4:8" ht="29.25" customHeight="1" x14ac:dyDescent="0.3">
      <c r="D576" s="34">
        <v>44932</v>
      </c>
      <c r="E576">
        <f t="shared" si="19"/>
        <v>21333</v>
      </c>
      <c r="G576" s="34">
        <v>44932</v>
      </c>
      <c r="H576" s="34" t="b">
        <f t="shared" si="20"/>
        <v>1</v>
      </c>
    </row>
    <row r="577" spans="4:8" ht="29.25" customHeight="1" x14ac:dyDescent="0.3">
      <c r="D577" s="34">
        <v>44935</v>
      </c>
      <c r="E577">
        <f t="shared" si="19"/>
        <v>21333</v>
      </c>
      <c r="G577" s="34">
        <v>44935</v>
      </c>
      <c r="H577" s="34" t="b">
        <f t="shared" si="20"/>
        <v>1</v>
      </c>
    </row>
    <row r="578" spans="4:8" ht="29.25" customHeight="1" x14ac:dyDescent="0.3">
      <c r="D578" s="34">
        <v>44936</v>
      </c>
      <c r="E578">
        <f t="shared" si="19"/>
        <v>21333</v>
      </c>
      <c r="G578" s="34">
        <v>44936</v>
      </c>
      <c r="H578" s="34" t="b">
        <f t="shared" si="20"/>
        <v>1</v>
      </c>
    </row>
    <row r="579" spans="4:8" ht="29.25" customHeight="1" x14ac:dyDescent="0.3">
      <c r="D579" s="34">
        <v>44937</v>
      </c>
      <c r="E579">
        <f t="shared" ref="E579:E642" si="21">LOOKUP(D579,A:A,B:B)</f>
        <v>20811</v>
      </c>
      <c r="G579" s="34">
        <v>44937</v>
      </c>
      <c r="H579" s="34" t="b">
        <f t="shared" ref="H579:H642" si="22">G579=D579</f>
        <v>1</v>
      </c>
    </row>
    <row r="580" spans="4:8" ht="29.25" customHeight="1" x14ac:dyDescent="0.3">
      <c r="D580" s="34">
        <v>44938</v>
      </c>
      <c r="E580">
        <f t="shared" si="21"/>
        <v>20811</v>
      </c>
      <c r="G580" s="34">
        <v>44938</v>
      </c>
      <c r="H580" s="34" t="b">
        <f t="shared" si="22"/>
        <v>1</v>
      </c>
    </row>
    <row r="581" spans="4:8" ht="29.25" customHeight="1" x14ac:dyDescent="0.3">
      <c r="D581" s="34">
        <v>44939</v>
      </c>
      <c r="E581">
        <f t="shared" si="21"/>
        <v>20811</v>
      </c>
      <c r="G581" s="34">
        <v>44939</v>
      </c>
      <c r="H581" s="34" t="b">
        <f t="shared" si="22"/>
        <v>1</v>
      </c>
    </row>
    <row r="582" spans="4:8" ht="29.25" customHeight="1" x14ac:dyDescent="0.3">
      <c r="D582" s="34">
        <v>44942</v>
      </c>
      <c r="E582">
        <f t="shared" si="21"/>
        <v>20811</v>
      </c>
      <c r="G582" s="34">
        <v>44942</v>
      </c>
      <c r="H582" s="34" t="b">
        <f t="shared" si="22"/>
        <v>1</v>
      </c>
    </row>
    <row r="583" spans="4:8" ht="29.25" customHeight="1" x14ac:dyDescent="0.3">
      <c r="D583" s="34">
        <v>44943</v>
      </c>
      <c r="E583">
        <f t="shared" si="21"/>
        <v>20811</v>
      </c>
      <c r="G583" s="34">
        <v>44943</v>
      </c>
      <c r="H583" s="34" t="b">
        <f t="shared" si="22"/>
        <v>1</v>
      </c>
    </row>
    <row r="584" spans="4:8" ht="29.25" customHeight="1" x14ac:dyDescent="0.3">
      <c r="D584" s="34">
        <v>44944</v>
      </c>
      <c r="E584">
        <f t="shared" si="21"/>
        <v>20191</v>
      </c>
      <c r="G584" s="34">
        <v>44944</v>
      </c>
      <c r="H584" s="34" t="b">
        <f t="shared" si="22"/>
        <v>1</v>
      </c>
    </row>
    <row r="585" spans="4:8" ht="29.25" customHeight="1" x14ac:dyDescent="0.3">
      <c r="D585" s="34">
        <v>44945</v>
      </c>
      <c r="E585">
        <f t="shared" si="21"/>
        <v>20191</v>
      </c>
      <c r="G585" s="34">
        <v>44945</v>
      </c>
      <c r="H585" s="34" t="b">
        <f t="shared" si="22"/>
        <v>1</v>
      </c>
    </row>
    <row r="586" spans="4:8" ht="29.25" customHeight="1" x14ac:dyDescent="0.3">
      <c r="D586" s="34">
        <v>44946</v>
      </c>
      <c r="E586">
        <f t="shared" si="21"/>
        <v>20191</v>
      </c>
      <c r="G586" s="34">
        <v>44946</v>
      </c>
      <c r="H586" s="34" t="b">
        <f t="shared" si="22"/>
        <v>1</v>
      </c>
    </row>
    <row r="587" spans="4:8" ht="29.25" customHeight="1" x14ac:dyDescent="0.3">
      <c r="D587" s="34">
        <v>44949</v>
      </c>
      <c r="E587">
        <f t="shared" si="21"/>
        <v>20191</v>
      </c>
      <c r="G587" s="34">
        <v>44949</v>
      </c>
      <c r="H587" s="34" t="b">
        <f t="shared" si="22"/>
        <v>1</v>
      </c>
    </row>
    <row r="588" spans="4:8" ht="29.25" customHeight="1" x14ac:dyDescent="0.3">
      <c r="D588" s="34">
        <v>44950</v>
      </c>
      <c r="E588">
        <f t="shared" si="21"/>
        <v>20191</v>
      </c>
      <c r="G588" s="34">
        <v>44950</v>
      </c>
      <c r="H588" s="34" t="b">
        <f t="shared" si="22"/>
        <v>1</v>
      </c>
    </row>
    <row r="589" spans="4:8" ht="29.25" customHeight="1" x14ac:dyDescent="0.3">
      <c r="D589" s="34">
        <v>44951</v>
      </c>
      <c r="E589">
        <f t="shared" si="21"/>
        <v>19593</v>
      </c>
      <c r="G589" s="34">
        <v>44951</v>
      </c>
      <c r="H589" s="34" t="b">
        <f t="shared" si="22"/>
        <v>1</v>
      </c>
    </row>
    <row r="590" spans="4:8" ht="29.25" customHeight="1" x14ac:dyDescent="0.3">
      <c r="D590" s="34">
        <v>44952</v>
      </c>
      <c r="E590">
        <f t="shared" si="21"/>
        <v>19593</v>
      </c>
      <c r="G590" s="34">
        <v>44952</v>
      </c>
      <c r="H590" s="34" t="b">
        <f t="shared" si="22"/>
        <v>1</v>
      </c>
    </row>
    <row r="591" spans="4:8" ht="29.25" customHeight="1" x14ac:dyDescent="0.3">
      <c r="D591" s="34">
        <v>44953</v>
      </c>
      <c r="E591">
        <f t="shared" si="21"/>
        <v>19593</v>
      </c>
      <c r="G591" s="34">
        <v>44953</v>
      </c>
      <c r="H591" s="34" t="b">
        <f t="shared" si="22"/>
        <v>1</v>
      </c>
    </row>
    <row r="592" spans="4:8" ht="29.25" customHeight="1" x14ac:dyDescent="0.3">
      <c r="D592" s="34">
        <v>44956</v>
      </c>
      <c r="E592">
        <f t="shared" si="21"/>
        <v>19593</v>
      </c>
      <c r="G592" s="34">
        <v>44956</v>
      </c>
      <c r="H592" s="34" t="b">
        <f t="shared" si="22"/>
        <v>1</v>
      </c>
    </row>
    <row r="593" spans="4:8" ht="29.25" customHeight="1" x14ac:dyDescent="0.3">
      <c r="D593" s="34">
        <v>44957</v>
      </c>
      <c r="E593">
        <f t="shared" si="21"/>
        <v>19593</v>
      </c>
      <c r="G593" s="34">
        <v>44957</v>
      </c>
      <c r="H593" s="34" t="b">
        <f t="shared" si="22"/>
        <v>1</v>
      </c>
    </row>
    <row r="594" spans="4:8" ht="29.25" customHeight="1" x14ac:dyDescent="0.3">
      <c r="D594" s="34">
        <v>44958</v>
      </c>
      <c r="E594">
        <f t="shared" si="21"/>
        <v>20713</v>
      </c>
      <c r="G594" s="34">
        <v>44958</v>
      </c>
      <c r="H594" s="34" t="b">
        <f t="shared" si="22"/>
        <v>1</v>
      </c>
    </row>
    <row r="595" spans="4:8" ht="29.25" customHeight="1" x14ac:dyDescent="0.3">
      <c r="D595" s="34">
        <v>44959</v>
      </c>
      <c r="E595">
        <f t="shared" si="21"/>
        <v>20713</v>
      </c>
      <c r="G595" s="34">
        <v>44959</v>
      </c>
      <c r="H595" s="34" t="b">
        <f t="shared" si="22"/>
        <v>1</v>
      </c>
    </row>
    <row r="596" spans="4:8" ht="29.25" customHeight="1" x14ac:dyDescent="0.3">
      <c r="D596" s="34">
        <v>44960</v>
      </c>
      <c r="E596">
        <f t="shared" si="21"/>
        <v>20713</v>
      </c>
      <c r="G596" s="34">
        <v>44960</v>
      </c>
      <c r="H596" s="34" t="b">
        <f t="shared" si="22"/>
        <v>1</v>
      </c>
    </row>
    <row r="597" spans="4:8" ht="29.25" customHeight="1" x14ac:dyDescent="0.3">
      <c r="D597" s="34">
        <v>44963</v>
      </c>
      <c r="E597">
        <f t="shared" si="21"/>
        <v>20713</v>
      </c>
      <c r="G597" s="34">
        <v>44963</v>
      </c>
      <c r="H597" s="34" t="b">
        <f t="shared" si="22"/>
        <v>1</v>
      </c>
    </row>
    <row r="598" spans="4:8" ht="29.25" customHeight="1" x14ac:dyDescent="0.3">
      <c r="D598" s="34">
        <v>44964</v>
      </c>
      <c r="E598">
        <f t="shared" si="21"/>
        <v>20713</v>
      </c>
      <c r="G598" s="34">
        <v>44964</v>
      </c>
      <c r="H598" s="34" t="b">
        <f t="shared" si="22"/>
        <v>1</v>
      </c>
    </row>
    <row r="599" spans="4:8" ht="29.25" customHeight="1" x14ac:dyDescent="0.3">
      <c r="D599" s="34">
        <v>44965</v>
      </c>
      <c r="E599">
        <f t="shared" si="21"/>
        <v>21239</v>
      </c>
      <c r="G599" s="34">
        <v>44965</v>
      </c>
      <c r="H599" s="34" t="b">
        <f t="shared" si="22"/>
        <v>1</v>
      </c>
    </row>
    <row r="600" spans="4:8" ht="29.25" customHeight="1" x14ac:dyDescent="0.3">
      <c r="D600" s="34">
        <v>44966</v>
      </c>
      <c r="E600">
        <f t="shared" si="21"/>
        <v>21239</v>
      </c>
      <c r="G600" s="34">
        <v>44966</v>
      </c>
      <c r="H600" s="34" t="b">
        <f t="shared" si="22"/>
        <v>1</v>
      </c>
    </row>
    <row r="601" spans="4:8" ht="29.25" customHeight="1" x14ac:dyDescent="0.3">
      <c r="D601" s="34">
        <v>44967</v>
      </c>
      <c r="E601">
        <f t="shared" si="21"/>
        <v>21239</v>
      </c>
      <c r="G601" s="34">
        <v>44967</v>
      </c>
      <c r="H601" s="34" t="b">
        <f t="shared" si="22"/>
        <v>1</v>
      </c>
    </row>
    <row r="602" spans="4:8" ht="29.25" customHeight="1" x14ac:dyDescent="0.3">
      <c r="D602" s="34">
        <v>44970</v>
      </c>
      <c r="E602">
        <f t="shared" si="21"/>
        <v>21239</v>
      </c>
      <c r="G602" s="34">
        <v>44970</v>
      </c>
      <c r="H602" s="34" t="b">
        <f t="shared" si="22"/>
        <v>1</v>
      </c>
    </row>
    <row r="603" spans="4:8" ht="29.25" customHeight="1" x14ac:dyDescent="0.3">
      <c r="D603" s="34">
        <v>44971</v>
      </c>
      <c r="E603">
        <f t="shared" si="21"/>
        <v>21239</v>
      </c>
      <c r="G603" s="34">
        <v>44971</v>
      </c>
      <c r="H603" s="34" t="b">
        <f t="shared" si="22"/>
        <v>1</v>
      </c>
    </row>
    <row r="604" spans="4:8" ht="29.25" customHeight="1" x14ac:dyDescent="0.3">
      <c r="D604" s="34">
        <v>44972</v>
      </c>
      <c r="E604">
        <f t="shared" si="21"/>
        <v>20726</v>
      </c>
      <c r="G604" s="34">
        <v>44972</v>
      </c>
      <c r="H604" s="34" t="b">
        <f t="shared" si="22"/>
        <v>1</v>
      </c>
    </row>
    <row r="605" spans="4:8" ht="29.25" customHeight="1" x14ac:dyDescent="0.3">
      <c r="D605" s="34">
        <v>44973</v>
      </c>
      <c r="E605">
        <f t="shared" si="21"/>
        <v>20726</v>
      </c>
      <c r="G605" s="34">
        <v>44973</v>
      </c>
      <c r="H605" s="34" t="b">
        <f t="shared" si="22"/>
        <v>1</v>
      </c>
    </row>
    <row r="606" spans="4:8" ht="29.25" customHeight="1" x14ac:dyDescent="0.3">
      <c r="D606" s="34">
        <v>44974</v>
      </c>
      <c r="E606">
        <f t="shared" si="21"/>
        <v>20726</v>
      </c>
      <c r="G606" s="34">
        <v>44974</v>
      </c>
      <c r="H606" s="34" t="b">
        <f t="shared" si="22"/>
        <v>1</v>
      </c>
    </row>
    <row r="607" spans="4:8" ht="29.25" customHeight="1" x14ac:dyDescent="0.3">
      <c r="D607" s="34">
        <v>44977</v>
      </c>
      <c r="E607">
        <f t="shared" si="21"/>
        <v>20726</v>
      </c>
      <c r="G607" s="34">
        <v>44977</v>
      </c>
      <c r="H607" s="34" t="b">
        <f t="shared" si="22"/>
        <v>1</v>
      </c>
    </row>
    <row r="608" spans="4:8" ht="29.25" customHeight="1" x14ac:dyDescent="0.3">
      <c r="D608" s="34">
        <v>44978</v>
      </c>
      <c r="E608">
        <f t="shared" si="21"/>
        <v>20726</v>
      </c>
      <c r="G608" s="34">
        <v>44978</v>
      </c>
      <c r="H608" s="34" t="b">
        <f t="shared" si="22"/>
        <v>1</v>
      </c>
    </row>
    <row r="609" spans="4:8" ht="29.25" customHeight="1" x14ac:dyDescent="0.3">
      <c r="D609" s="34">
        <v>44979</v>
      </c>
      <c r="E609">
        <f t="shared" si="21"/>
        <v>22641</v>
      </c>
      <c r="G609" s="34">
        <v>44979</v>
      </c>
      <c r="H609" s="34" t="b">
        <f t="shared" si="22"/>
        <v>1</v>
      </c>
    </row>
    <row r="610" spans="4:8" ht="29.25" customHeight="1" x14ac:dyDescent="0.3">
      <c r="D610" s="34">
        <v>44980</v>
      </c>
      <c r="E610">
        <f t="shared" si="21"/>
        <v>22641</v>
      </c>
      <c r="G610" s="34">
        <v>44980</v>
      </c>
      <c r="H610" s="34" t="b">
        <f t="shared" si="22"/>
        <v>1</v>
      </c>
    </row>
    <row r="611" spans="4:8" ht="29.25" customHeight="1" x14ac:dyDescent="0.3">
      <c r="D611" s="34">
        <v>44981</v>
      </c>
      <c r="E611">
        <f t="shared" si="21"/>
        <v>22641</v>
      </c>
      <c r="G611" s="34">
        <v>44981</v>
      </c>
      <c r="H611" s="34" t="b">
        <f t="shared" si="22"/>
        <v>1</v>
      </c>
    </row>
    <row r="612" spans="4:8" ht="29.25" customHeight="1" x14ac:dyDescent="0.3">
      <c r="D612" s="34">
        <v>44984</v>
      </c>
      <c r="E612">
        <f t="shared" si="21"/>
        <v>22641</v>
      </c>
      <c r="G612" s="34">
        <v>44984</v>
      </c>
      <c r="H612" s="34" t="b">
        <f t="shared" si="22"/>
        <v>1</v>
      </c>
    </row>
    <row r="613" spans="4:8" ht="29.25" customHeight="1" x14ac:dyDescent="0.3">
      <c r="D613" s="34">
        <v>44985</v>
      </c>
      <c r="E613">
        <f t="shared" si="21"/>
        <v>22641</v>
      </c>
      <c r="G613" s="34">
        <v>44985</v>
      </c>
      <c r="H613" s="34" t="b">
        <f t="shared" si="22"/>
        <v>1</v>
      </c>
    </row>
    <row r="614" spans="4:8" ht="29.25" customHeight="1" x14ac:dyDescent="0.3">
      <c r="D614" s="34">
        <v>44986</v>
      </c>
      <c r="E614">
        <f t="shared" si="21"/>
        <v>20599</v>
      </c>
      <c r="G614" s="34">
        <v>44986</v>
      </c>
      <c r="H614" s="34" t="b">
        <f t="shared" si="22"/>
        <v>1</v>
      </c>
    </row>
    <row r="615" spans="4:8" ht="29.25" customHeight="1" x14ac:dyDescent="0.3">
      <c r="D615" s="34">
        <v>44987</v>
      </c>
      <c r="E615">
        <f t="shared" si="21"/>
        <v>20599</v>
      </c>
      <c r="G615" s="34">
        <v>44987</v>
      </c>
      <c r="H615" s="34" t="b">
        <f t="shared" si="22"/>
        <v>1</v>
      </c>
    </row>
    <row r="616" spans="4:8" ht="29.25" customHeight="1" x14ac:dyDescent="0.3">
      <c r="D616" s="34">
        <v>44988</v>
      </c>
      <c r="E616">
        <f t="shared" si="21"/>
        <v>20599</v>
      </c>
      <c r="G616" s="34">
        <v>44988</v>
      </c>
      <c r="H616" s="34" t="b">
        <f t="shared" si="22"/>
        <v>1</v>
      </c>
    </row>
    <row r="617" spans="4:8" ht="29.25" customHeight="1" x14ac:dyDescent="0.3">
      <c r="D617" s="34">
        <v>44991</v>
      </c>
      <c r="E617">
        <f t="shared" si="21"/>
        <v>20599</v>
      </c>
      <c r="G617" s="34">
        <v>44991</v>
      </c>
      <c r="H617" s="34" t="b">
        <f t="shared" si="22"/>
        <v>1</v>
      </c>
    </row>
    <row r="618" spans="4:8" ht="29.25" customHeight="1" x14ac:dyDescent="0.3">
      <c r="D618" s="34">
        <v>44992</v>
      </c>
      <c r="E618">
        <f t="shared" si="21"/>
        <v>20599</v>
      </c>
      <c r="G618" s="34">
        <v>44992</v>
      </c>
      <c r="H618" s="34" t="b">
        <f t="shared" si="22"/>
        <v>1</v>
      </c>
    </row>
    <row r="619" spans="4:8" ht="29.25" customHeight="1" x14ac:dyDescent="0.3">
      <c r="D619" s="34">
        <v>44993</v>
      </c>
      <c r="E619">
        <f t="shared" si="21"/>
        <v>20171</v>
      </c>
      <c r="G619" s="34">
        <v>44993</v>
      </c>
      <c r="H619" s="34" t="b">
        <f t="shared" si="22"/>
        <v>1</v>
      </c>
    </row>
    <row r="620" spans="4:8" ht="29.25" customHeight="1" x14ac:dyDescent="0.3">
      <c r="D620" s="34">
        <v>44994</v>
      </c>
      <c r="E620">
        <f t="shared" si="21"/>
        <v>20171</v>
      </c>
      <c r="G620" s="34">
        <v>44994</v>
      </c>
      <c r="H620" s="34" t="b">
        <f t="shared" si="22"/>
        <v>1</v>
      </c>
    </row>
    <row r="621" spans="4:8" ht="29.25" customHeight="1" x14ac:dyDescent="0.3">
      <c r="D621" s="34">
        <v>44995</v>
      </c>
      <c r="E621">
        <f t="shared" si="21"/>
        <v>20171</v>
      </c>
      <c r="G621" s="34">
        <v>44995</v>
      </c>
      <c r="H621" s="34" t="b">
        <f t="shared" si="22"/>
        <v>1</v>
      </c>
    </row>
    <row r="622" spans="4:8" ht="29.25" customHeight="1" x14ac:dyDescent="0.3">
      <c r="D622" s="34">
        <v>44998</v>
      </c>
      <c r="E622">
        <f t="shared" si="21"/>
        <v>20171</v>
      </c>
      <c r="G622" s="34">
        <v>44998</v>
      </c>
      <c r="H622" s="34" t="b">
        <f t="shared" si="22"/>
        <v>1</v>
      </c>
    </row>
    <row r="623" spans="4:8" ht="29.25" customHeight="1" x14ac:dyDescent="0.3">
      <c r="D623" s="34">
        <v>44999</v>
      </c>
      <c r="E623">
        <f t="shared" si="21"/>
        <v>20171</v>
      </c>
      <c r="G623" s="34">
        <v>44999</v>
      </c>
      <c r="H623" s="34" t="b">
        <f t="shared" si="22"/>
        <v>1</v>
      </c>
    </row>
    <row r="624" spans="4:8" ht="29.25" customHeight="1" x14ac:dyDescent="0.3">
      <c r="D624" s="34">
        <v>45000</v>
      </c>
      <c r="E624">
        <f t="shared" si="21"/>
        <v>21092</v>
      </c>
      <c r="G624" s="34">
        <v>45000</v>
      </c>
      <c r="H624" s="34" t="b">
        <f t="shared" si="22"/>
        <v>1</v>
      </c>
    </row>
    <row r="625" spans="4:8" ht="29.25" customHeight="1" x14ac:dyDescent="0.3">
      <c r="D625" s="34">
        <v>45001</v>
      </c>
      <c r="E625">
        <f t="shared" si="21"/>
        <v>21092</v>
      </c>
      <c r="G625" s="34">
        <v>45001</v>
      </c>
      <c r="H625" s="34" t="b">
        <f t="shared" si="22"/>
        <v>1</v>
      </c>
    </row>
    <row r="626" spans="4:8" ht="29.25" customHeight="1" x14ac:dyDescent="0.3">
      <c r="D626" s="34">
        <v>45002</v>
      </c>
      <c r="E626">
        <f t="shared" si="21"/>
        <v>21092</v>
      </c>
      <c r="G626" s="34">
        <v>45002</v>
      </c>
      <c r="H626" s="34" t="b">
        <f t="shared" si="22"/>
        <v>1</v>
      </c>
    </row>
    <row r="627" spans="4:8" ht="29.25" customHeight="1" x14ac:dyDescent="0.3">
      <c r="D627" s="34">
        <v>45005</v>
      </c>
      <c r="E627">
        <f t="shared" si="21"/>
        <v>21092</v>
      </c>
      <c r="G627" s="34">
        <v>45005</v>
      </c>
      <c r="H627" s="34" t="b">
        <f t="shared" si="22"/>
        <v>1</v>
      </c>
    </row>
    <row r="628" spans="4:8" ht="29.25" customHeight="1" x14ac:dyDescent="0.3">
      <c r="D628" s="34">
        <v>45006</v>
      </c>
      <c r="E628">
        <f t="shared" si="21"/>
        <v>21092</v>
      </c>
      <c r="G628" s="34">
        <v>45006</v>
      </c>
      <c r="H628" s="34" t="b">
        <f t="shared" si="22"/>
        <v>1</v>
      </c>
    </row>
    <row r="629" spans="4:8" ht="29.25" customHeight="1" x14ac:dyDescent="0.3">
      <c r="D629" s="34">
        <v>45007</v>
      </c>
      <c r="E629">
        <f t="shared" si="21"/>
        <v>23048</v>
      </c>
      <c r="G629" s="34">
        <v>45007</v>
      </c>
      <c r="H629" s="34" t="b">
        <f t="shared" si="22"/>
        <v>1</v>
      </c>
    </row>
    <row r="630" spans="4:8" ht="29.25" customHeight="1" x14ac:dyDescent="0.3">
      <c r="D630" s="34">
        <v>45008</v>
      </c>
      <c r="E630">
        <f t="shared" si="21"/>
        <v>23048</v>
      </c>
      <c r="G630" s="34">
        <v>45008</v>
      </c>
      <c r="H630" s="34" t="b">
        <f t="shared" si="22"/>
        <v>1</v>
      </c>
    </row>
    <row r="631" spans="4:8" ht="29.25" customHeight="1" x14ac:dyDescent="0.3">
      <c r="D631" s="34">
        <v>45009</v>
      </c>
      <c r="E631">
        <f t="shared" si="21"/>
        <v>23048</v>
      </c>
      <c r="G631" s="34">
        <v>45009</v>
      </c>
      <c r="H631" s="34" t="b">
        <f t="shared" si="22"/>
        <v>1</v>
      </c>
    </row>
    <row r="632" spans="4:8" ht="29.25" customHeight="1" x14ac:dyDescent="0.3">
      <c r="D632" s="34">
        <v>45012</v>
      </c>
      <c r="E632">
        <f t="shared" si="21"/>
        <v>23048</v>
      </c>
      <c r="G632" s="34">
        <v>45012</v>
      </c>
      <c r="H632" s="34" t="b">
        <f t="shared" si="22"/>
        <v>1</v>
      </c>
    </row>
    <row r="633" spans="4:8" ht="29.25" customHeight="1" x14ac:dyDescent="0.3">
      <c r="D633" s="34">
        <v>45013</v>
      </c>
      <c r="E633">
        <f t="shared" si="21"/>
        <v>23048</v>
      </c>
      <c r="G633" s="34">
        <v>45013</v>
      </c>
      <c r="H633" s="34" t="b">
        <f t="shared" si="22"/>
        <v>1</v>
      </c>
    </row>
    <row r="634" spans="4:8" ht="29.25" customHeight="1" x14ac:dyDescent="0.3">
      <c r="D634" s="34">
        <v>45014</v>
      </c>
      <c r="E634">
        <f t="shared" si="21"/>
        <v>22578</v>
      </c>
      <c r="G634" s="34">
        <v>45014</v>
      </c>
      <c r="H634" s="34" t="b">
        <f t="shared" si="22"/>
        <v>1</v>
      </c>
    </row>
    <row r="635" spans="4:8" ht="29.25" customHeight="1" x14ac:dyDescent="0.3">
      <c r="D635" s="34">
        <v>45015</v>
      </c>
      <c r="E635">
        <f t="shared" si="21"/>
        <v>22578</v>
      </c>
      <c r="G635" s="34">
        <v>45015</v>
      </c>
      <c r="H635" s="34" t="b">
        <f t="shared" si="22"/>
        <v>1</v>
      </c>
    </row>
    <row r="636" spans="4:8" ht="29.25" customHeight="1" x14ac:dyDescent="0.3">
      <c r="D636" s="34">
        <v>45016</v>
      </c>
      <c r="E636">
        <f t="shared" si="21"/>
        <v>22578</v>
      </c>
      <c r="G636" s="34">
        <v>45016</v>
      </c>
      <c r="H636" s="34" t="b">
        <f t="shared" si="22"/>
        <v>1</v>
      </c>
    </row>
    <row r="637" spans="4:8" ht="29.25" customHeight="1" x14ac:dyDescent="0.3">
      <c r="D637" s="34">
        <v>45019</v>
      </c>
      <c r="E637">
        <f t="shared" si="21"/>
        <v>22578</v>
      </c>
      <c r="G637" s="34">
        <v>45019</v>
      </c>
      <c r="H637" s="34" t="b">
        <f t="shared" si="22"/>
        <v>1</v>
      </c>
    </row>
    <row r="638" spans="4:8" ht="29.25" customHeight="1" x14ac:dyDescent="0.3">
      <c r="D638" s="34">
        <v>45020</v>
      </c>
      <c r="E638">
        <f t="shared" si="21"/>
        <v>22578</v>
      </c>
      <c r="G638" s="34">
        <v>45020</v>
      </c>
      <c r="H638" s="34" t="b">
        <f t="shared" si="22"/>
        <v>1</v>
      </c>
    </row>
    <row r="639" spans="4:8" ht="29.25" customHeight="1" x14ac:dyDescent="0.3">
      <c r="D639" s="34">
        <v>45021</v>
      </c>
      <c r="E639">
        <f t="shared" si="21"/>
        <v>23740</v>
      </c>
      <c r="G639" s="34">
        <v>45021</v>
      </c>
      <c r="H639" s="34" t="b">
        <f t="shared" si="22"/>
        <v>1</v>
      </c>
    </row>
    <row r="640" spans="4:8" ht="29.25" customHeight="1" x14ac:dyDescent="0.3">
      <c r="D640" s="34">
        <v>45022</v>
      </c>
      <c r="E640">
        <f t="shared" si="21"/>
        <v>23740</v>
      </c>
      <c r="G640" s="34">
        <v>45022</v>
      </c>
      <c r="H640" s="34" t="b">
        <f t="shared" si="22"/>
        <v>1</v>
      </c>
    </row>
    <row r="641" spans="4:8" ht="29.25" customHeight="1" x14ac:dyDescent="0.3">
      <c r="D641" s="34">
        <v>45026</v>
      </c>
      <c r="E641">
        <f t="shared" si="21"/>
        <v>23740</v>
      </c>
      <c r="G641" s="34">
        <v>45026</v>
      </c>
      <c r="H641" s="34" t="b">
        <f t="shared" si="22"/>
        <v>1</v>
      </c>
    </row>
    <row r="642" spans="4:8" ht="29.25" customHeight="1" x14ac:dyDescent="0.3">
      <c r="D642" s="34">
        <v>45027</v>
      </c>
      <c r="E642">
        <f t="shared" si="21"/>
        <v>23740</v>
      </c>
      <c r="G642" s="34">
        <v>45027</v>
      </c>
      <c r="H642" s="34" t="b">
        <f t="shared" si="22"/>
        <v>1</v>
      </c>
    </row>
    <row r="643" spans="4:8" ht="29.25" customHeight="1" x14ac:dyDescent="0.3">
      <c r="D643" s="34">
        <v>45028</v>
      </c>
      <c r="E643">
        <f t="shared" ref="E643:E706" si="23">LOOKUP(D643,A:A,B:B)</f>
        <v>23524</v>
      </c>
      <c r="G643" s="34">
        <v>45028</v>
      </c>
      <c r="H643" s="34" t="b">
        <f t="shared" ref="H643:H706" si="24">G643=D643</f>
        <v>1</v>
      </c>
    </row>
    <row r="644" spans="4:8" ht="29.25" customHeight="1" x14ac:dyDescent="0.3">
      <c r="D644" s="34">
        <v>45029</v>
      </c>
      <c r="E644">
        <f t="shared" si="23"/>
        <v>23524</v>
      </c>
      <c r="G644" s="34">
        <v>45029</v>
      </c>
      <c r="H644" s="34" t="b">
        <f t="shared" si="24"/>
        <v>1</v>
      </c>
    </row>
    <row r="645" spans="4:8" ht="29.25" customHeight="1" x14ac:dyDescent="0.3">
      <c r="D645" s="34">
        <v>45030</v>
      </c>
      <c r="E645">
        <f t="shared" si="23"/>
        <v>23524</v>
      </c>
      <c r="G645" s="34">
        <v>45030</v>
      </c>
      <c r="H645" s="34" t="b">
        <f t="shared" si="24"/>
        <v>1</v>
      </c>
    </row>
    <row r="646" spans="4:8" ht="29.25" customHeight="1" x14ac:dyDescent="0.3">
      <c r="D646" s="34">
        <v>45033</v>
      </c>
      <c r="E646">
        <f t="shared" si="23"/>
        <v>23524</v>
      </c>
      <c r="G646" s="34">
        <v>45033</v>
      </c>
      <c r="H646" s="34" t="b">
        <f t="shared" si="24"/>
        <v>1</v>
      </c>
    </row>
    <row r="647" spans="4:8" ht="29.25" customHeight="1" x14ac:dyDescent="0.3">
      <c r="D647" s="34">
        <v>45034</v>
      </c>
      <c r="E647">
        <f t="shared" si="23"/>
        <v>23524</v>
      </c>
      <c r="G647" s="34">
        <v>45034</v>
      </c>
      <c r="H647" s="34" t="b">
        <f t="shared" si="24"/>
        <v>1</v>
      </c>
    </row>
    <row r="648" spans="4:8" ht="29.25" customHeight="1" x14ac:dyDescent="0.3">
      <c r="D648" s="34">
        <v>45035</v>
      </c>
      <c r="E648">
        <f t="shared" si="23"/>
        <v>23519</v>
      </c>
      <c r="G648" s="34">
        <v>45035</v>
      </c>
      <c r="H648" s="34" t="b">
        <f t="shared" si="24"/>
        <v>1</v>
      </c>
    </row>
    <row r="649" spans="4:8" ht="29.25" customHeight="1" x14ac:dyDescent="0.3">
      <c r="D649" s="34">
        <v>45036</v>
      </c>
      <c r="E649">
        <f t="shared" si="23"/>
        <v>23519</v>
      </c>
      <c r="G649" s="34">
        <v>45036</v>
      </c>
      <c r="H649" s="34" t="b">
        <f t="shared" si="24"/>
        <v>1</v>
      </c>
    </row>
    <row r="650" spans="4:8" ht="29.25" customHeight="1" x14ac:dyDescent="0.3">
      <c r="D650" s="34">
        <v>45037</v>
      </c>
      <c r="E650">
        <f t="shared" si="23"/>
        <v>23519</v>
      </c>
      <c r="G650" s="34">
        <v>45037</v>
      </c>
      <c r="H650" s="34" t="b">
        <f t="shared" si="24"/>
        <v>1</v>
      </c>
    </row>
    <row r="651" spans="4:8" ht="29.25" customHeight="1" x14ac:dyDescent="0.3">
      <c r="D651" s="34">
        <v>45040</v>
      </c>
      <c r="E651">
        <f t="shared" si="23"/>
        <v>23519</v>
      </c>
      <c r="G651" s="34">
        <v>45040</v>
      </c>
      <c r="H651" s="34" t="b">
        <f t="shared" si="24"/>
        <v>1</v>
      </c>
    </row>
    <row r="652" spans="4:8" ht="29.25" customHeight="1" x14ac:dyDescent="0.3">
      <c r="D652" s="34">
        <v>45041</v>
      </c>
      <c r="E652">
        <f t="shared" si="23"/>
        <v>23519</v>
      </c>
      <c r="G652" s="34">
        <v>45041</v>
      </c>
      <c r="H652" s="34" t="b">
        <f t="shared" si="24"/>
        <v>1</v>
      </c>
    </row>
    <row r="653" spans="4:8" ht="29.25" customHeight="1" x14ac:dyDescent="0.3">
      <c r="D653" s="34">
        <v>45042</v>
      </c>
      <c r="E653">
        <f t="shared" si="23"/>
        <v>23060</v>
      </c>
      <c r="G653" s="34">
        <v>45042</v>
      </c>
      <c r="H653" s="34" t="b">
        <f t="shared" si="24"/>
        <v>1</v>
      </c>
    </row>
    <row r="654" spans="4:8" ht="29.25" customHeight="1" x14ac:dyDescent="0.3">
      <c r="D654" s="34">
        <v>45043</v>
      </c>
      <c r="E654">
        <f t="shared" si="23"/>
        <v>23060</v>
      </c>
      <c r="G654" s="34">
        <v>45043</v>
      </c>
      <c r="H654" s="34" t="b">
        <f t="shared" si="24"/>
        <v>1</v>
      </c>
    </row>
    <row r="655" spans="4:8" ht="29.25" customHeight="1" x14ac:dyDescent="0.3">
      <c r="D655" s="34">
        <v>45044</v>
      </c>
      <c r="E655">
        <f t="shared" si="23"/>
        <v>23060</v>
      </c>
      <c r="G655" s="34">
        <v>45044</v>
      </c>
      <c r="H655" s="34" t="b">
        <f t="shared" si="24"/>
        <v>1</v>
      </c>
    </row>
    <row r="656" spans="4:8" ht="29.25" customHeight="1" x14ac:dyDescent="0.3">
      <c r="D656" s="34">
        <v>45047</v>
      </c>
      <c r="E656">
        <f t="shared" si="23"/>
        <v>23060</v>
      </c>
      <c r="G656" s="34">
        <v>45047</v>
      </c>
      <c r="H656" s="34" t="b">
        <f t="shared" si="24"/>
        <v>1</v>
      </c>
    </row>
    <row r="657" spans="4:8" ht="29.25" customHeight="1" x14ac:dyDescent="0.3">
      <c r="D657" s="34">
        <v>45048</v>
      </c>
      <c r="E657">
        <f t="shared" si="23"/>
        <v>23060</v>
      </c>
      <c r="G657" s="34">
        <v>45048</v>
      </c>
      <c r="H657" s="34" t="b">
        <f t="shared" si="24"/>
        <v>1</v>
      </c>
    </row>
    <row r="658" spans="4:8" ht="29.25" customHeight="1" x14ac:dyDescent="0.3">
      <c r="D658" s="34">
        <v>45049</v>
      </c>
      <c r="E658">
        <f t="shared" si="23"/>
        <v>20619</v>
      </c>
      <c r="G658" s="34">
        <v>45049</v>
      </c>
      <c r="H658" s="34" t="b">
        <f t="shared" si="24"/>
        <v>1</v>
      </c>
    </row>
    <row r="659" spans="4:8" ht="29.25" customHeight="1" x14ac:dyDescent="0.3">
      <c r="D659" s="34">
        <v>45050</v>
      </c>
      <c r="E659">
        <f t="shared" si="23"/>
        <v>20619</v>
      </c>
      <c r="G659" s="34">
        <v>45050</v>
      </c>
      <c r="H659" s="34" t="b">
        <f t="shared" si="24"/>
        <v>1</v>
      </c>
    </row>
    <row r="660" spans="4:8" ht="29.25" customHeight="1" x14ac:dyDescent="0.3">
      <c r="D660" s="34">
        <v>45051</v>
      </c>
      <c r="E660">
        <f t="shared" si="23"/>
        <v>20619</v>
      </c>
      <c r="G660" s="34">
        <v>45051</v>
      </c>
      <c r="H660" s="34" t="b">
        <f t="shared" si="24"/>
        <v>1</v>
      </c>
    </row>
    <row r="661" spans="4:8" ht="29.25" customHeight="1" x14ac:dyDescent="0.3">
      <c r="D661" s="34">
        <v>45054</v>
      </c>
      <c r="E661">
        <f t="shared" si="23"/>
        <v>20619</v>
      </c>
      <c r="G661" s="34">
        <v>45054</v>
      </c>
      <c r="H661" s="34" t="b">
        <f t="shared" si="24"/>
        <v>1</v>
      </c>
    </row>
    <row r="662" spans="4:8" ht="29.25" customHeight="1" x14ac:dyDescent="0.3">
      <c r="D662" s="34">
        <v>45055</v>
      </c>
      <c r="E662">
        <f t="shared" si="23"/>
        <v>20619</v>
      </c>
      <c r="G662" s="34">
        <v>45055</v>
      </c>
      <c r="H662" s="34" t="b">
        <f t="shared" si="24"/>
        <v>1</v>
      </c>
    </row>
    <row r="663" spans="4:8" ht="29.25" customHeight="1" x14ac:dyDescent="0.3">
      <c r="D663" s="34">
        <v>45056</v>
      </c>
      <c r="E663">
        <f t="shared" si="23"/>
        <v>19194</v>
      </c>
      <c r="G663" s="34">
        <v>45056</v>
      </c>
      <c r="H663" s="34" t="b">
        <f t="shared" si="24"/>
        <v>1</v>
      </c>
    </row>
    <row r="664" spans="4:8" ht="29.25" customHeight="1" x14ac:dyDescent="0.3">
      <c r="D664" s="34">
        <v>45057</v>
      </c>
      <c r="E664">
        <f t="shared" si="23"/>
        <v>19194</v>
      </c>
      <c r="G664" s="34">
        <v>45057</v>
      </c>
      <c r="H664" s="34" t="b">
        <f t="shared" si="24"/>
        <v>1</v>
      </c>
    </row>
    <row r="665" spans="4:8" ht="29.25" customHeight="1" x14ac:dyDescent="0.3">
      <c r="D665" s="34">
        <v>45058</v>
      </c>
      <c r="E665">
        <f t="shared" si="23"/>
        <v>19194</v>
      </c>
      <c r="G665" s="34">
        <v>45058</v>
      </c>
      <c r="H665" s="34" t="b">
        <f t="shared" si="24"/>
        <v>1</v>
      </c>
    </row>
    <row r="666" spans="4:8" ht="29.25" customHeight="1" x14ac:dyDescent="0.3">
      <c r="D666" s="34">
        <v>45061</v>
      </c>
      <c r="E666">
        <f t="shared" si="23"/>
        <v>19194</v>
      </c>
      <c r="G666" s="34">
        <v>45061</v>
      </c>
      <c r="H666" s="34" t="b">
        <f t="shared" si="24"/>
        <v>1</v>
      </c>
    </row>
    <row r="667" spans="4:8" ht="29.25" customHeight="1" x14ac:dyDescent="0.3">
      <c r="D667" s="34">
        <v>45062</v>
      </c>
      <c r="E667">
        <f t="shared" si="23"/>
        <v>19194</v>
      </c>
      <c r="G667" s="34">
        <v>45062</v>
      </c>
      <c r="H667" s="34" t="b">
        <f t="shared" si="24"/>
        <v>1</v>
      </c>
    </row>
    <row r="668" spans="4:8" ht="29.25" customHeight="1" x14ac:dyDescent="0.3">
      <c r="D668" s="34">
        <v>45063</v>
      </c>
      <c r="E668">
        <f t="shared" si="23"/>
        <v>19173</v>
      </c>
      <c r="G668" s="34">
        <v>45063</v>
      </c>
      <c r="H668" s="34" t="b">
        <f t="shared" si="24"/>
        <v>1</v>
      </c>
    </row>
    <row r="669" spans="4:8" ht="29.25" customHeight="1" x14ac:dyDescent="0.3">
      <c r="D669" s="34">
        <v>45064</v>
      </c>
      <c r="E669">
        <f t="shared" si="23"/>
        <v>19173</v>
      </c>
      <c r="G669" s="34">
        <v>45064</v>
      </c>
      <c r="H669" s="34" t="b">
        <f t="shared" si="24"/>
        <v>1</v>
      </c>
    </row>
    <row r="670" spans="4:8" ht="29.25" customHeight="1" x14ac:dyDescent="0.3">
      <c r="D670" s="34">
        <v>45065</v>
      </c>
      <c r="E670">
        <f t="shared" si="23"/>
        <v>19173</v>
      </c>
      <c r="G670" s="34">
        <v>45065</v>
      </c>
      <c r="H670" s="34" t="b">
        <f t="shared" si="24"/>
        <v>1</v>
      </c>
    </row>
    <row r="671" spans="4:8" ht="29.25" customHeight="1" x14ac:dyDescent="0.3">
      <c r="D671" s="34">
        <v>45068</v>
      </c>
      <c r="E671">
        <f t="shared" si="23"/>
        <v>19173</v>
      </c>
      <c r="G671" s="34">
        <v>45068</v>
      </c>
      <c r="H671" s="34" t="b">
        <f t="shared" si="24"/>
        <v>1</v>
      </c>
    </row>
    <row r="672" spans="4:8" ht="29.25" customHeight="1" x14ac:dyDescent="0.3">
      <c r="D672" s="34">
        <v>45069</v>
      </c>
      <c r="E672">
        <f t="shared" si="23"/>
        <v>19173</v>
      </c>
      <c r="G672" s="34">
        <v>45069</v>
      </c>
      <c r="H672" s="34" t="b">
        <f t="shared" si="24"/>
        <v>1</v>
      </c>
    </row>
    <row r="673" spans="4:8" ht="29.25" customHeight="1" x14ac:dyDescent="0.3">
      <c r="D673" s="34">
        <v>45070</v>
      </c>
      <c r="E673">
        <f t="shared" si="23"/>
        <v>17487</v>
      </c>
      <c r="G673" s="34">
        <v>45070</v>
      </c>
      <c r="H673" s="34" t="b">
        <f t="shared" si="24"/>
        <v>1</v>
      </c>
    </row>
    <row r="674" spans="4:8" ht="29.25" customHeight="1" x14ac:dyDescent="0.3">
      <c r="D674" s="34">
        <v>45071</v>
      </c>
      <c r="E674">
        <f t="shared" si="23"/>
        <v>17487</v>
      </c>
      <c r="G674" s="34">
        <v>45071</v>
      </c>
      <c r="H674" s="34" t="b">
        <f t="shared" si="24"/>
        <v>1</v>
      </c>
    </row>
    <row r="675" spans="4:8" ht="29.25" customHeight="1" x14ac:dyDescent="0.3">
      <c r="D675" s="34">
        <v>45072</v>
      </c>
      <c r="E675">
        <f t="shared" si="23"/>
        <v>17487</v>
      </c>
      <c r="G675" s="34">
        <v>45072</v>
      </c>
      <c r="H675" s="34" t="b">
        <f t="shared" si="24"/>
        <v>1</v>
      </c>
    </row>
    <row r="676" spans="4:8" ht="29.25" customHeight="1" x14ac:dyDescent="0.3">
      <c r="D676" s="34">
        <v>45075</v>
      </c>
      <c r="E676">
        <f t="shared" si="23"/>
        <v>17487</v>
      </c>
      <c r="G676" s="34">
        <v>45075</v>
      </c>
      <c r="H676" s="34" t="b">
        <f t="shared" si="24"/>
        <v>1</v>
      </c>
    </row>
    <row r="677" spans="4:8" ht="29.25" customHeight="1" x14ac:dyDescent="0.3">
      <c r="D677" s="34">
        <v>45076</v>
      </c>
      <c r="E677">
        <f t="shared" si="23"/>
        <v>17487</v>
      </c>
      <c r="G677" s="34">
        <v>45076</v>
      </c>
      <c r="H677" s="34" t="b">
        <f t="shared" si="24"/>
        <v>1</v>
      </c>
    </row>
    <row r="678" spans="4:8" ht="29.25" customHeight="1" x14ac:dyDescent="0.3">
      <c r="D678" s="34">
        <v>45077</v>
      </c>
      <c r="E678">
        <f t="shared" si="23"/>
        <v>18937</v>
      </c>
      <c r="G678" s="34">
        <v>45077</v>
      </c>
      <c r="H678" s="34" t="b">
        <f t="shared" si="24"/>
        <v>1</v>
      </c>
    </row>
    <row r="679" spans="4:8" ht="29.25" customHeight="1" x14ac:dyDescent="0.3">
      <c r="D679" s="34">
        <v>45078</v>
      </c>
      <c r="E679">
        <f t="shared" si="23"/>
        <v>18937</v>
      </c>
      <c r="G679" s="34">
        <v>45078</v>
      </c>
      <c r="H679" s="34" t="b">
        <f t="shared" si="24"/>
        <v>1</v>
      </c>
    </row>
    <row r="680" spans="4:8" ht="29.25" customHeight="1" x14ac:dyDescent="0.3">
      <c r="D680" s="34">
        <v>45079</v>
      </c>
      <c r="E680">
        <f t="shared" si="23"/>
        <v>18937</v>
      </c>
      <c r="G680" s="34">
        <v>45079</v>
      </c>
      <c r="H680" s="34" t="b">
        <f t="shared" si="24"/>
        <v>1</v>
      </c>
    </row>
    <row r="681" spans="4:8" ht="29.25" customHeight="1" x14ac:dyDescent="0.3">
      <c r="D681" s="34">
        <v>45082</v>
      </c>
      <c r="E681">
        <f t="shared" si="23"/>
        <v>18937</v>
      </c>
      <c r="G681" s="34">
        <v>45082</v>
      </c>
      <c r="H681" s="34" t="b">
        <f t="shared" si="24"/>
        <v>1</v>
      </c>
    </row>
    <row r="682" spans="4:8" ht="29.25" customHeight="1" x14ac:dyDescent="0.3">
      <c r="D682" s="34">
        <v>45083</v>
      </c>
      <c r="E682">
        <f t="shared" si="23"/>
        <v>18937</v>
      </c>
      <c r="G682" s="34">
        <v>45083</v>
      </c>
      <c r="H682" s="34" t="b">
        <f t="shared" si="24"/>
        <v>1</v>
      </c>
    </row>
    <row r="683" spans="4:8" ht="29.25" customHeight="1" x14ac:dyDescent="0.3">
      <c r="D683" s="34">
        <v>45084</v>
      </c>
      <c r="E683">
        <f t="shared" si="23"/>
        <v>19574</v>
      </c>
      <c r="G683" s="34">
        <v>45084</v>
      </c>
      <c r="H683" s="34" t="b">
        <f t="shared" si="24"/>
        <v>1</v>
      </c>
    </row>
    <row r="684" spans="4:8" ht="29.25" customHeight="1" x14ac:dyDescent="0.3">
      <c r="D684" s="34">
        <v>45085</v>
      </c>
      <c r="E684">
        <f t="shared" si="23"/>
        <v>19574</v>
      </c>
      <c r="G684" s="34">
        <v>45085</v>
      </c>
      <c r="H684" s="34" t="b">
        <f t="shared" si="24"/>
        <v>1</v>
      </c>
    </row>
    <row r="685" spans="4:8" ht="29.25" customHeight="1" x14ac:dyDescent="0.3">
      <c r="D685" s="34">
        <v>45086</v>
      </c>
      <c r="E685">
        <f t="shared" si="23"/>
        <v>19574</v>
      </c>
      <c r="G685" s="34">
        <v>45086</v>
      </c>
      <c r="H685" s="34" t="b">
        <f t="shared" si="24"/>
        <v>1</v>
      </c>
    </row>
    <row r="686" spans="4:8" ht="29.25" customHeight="1" x14ac:dyDescent="0.3">
      <c r="D686" s="34">
        <v>45089</v>
      </c>
      <c r="E686">
        <f t="shared" si="23"/>
        <v>19574</v>
      </c>
      <c r="G686" s="34">
        <v>45089</v>
      </c>
      <c r="H686" s="34" t="b">
        <f t="shared" si="24"/>
        <v>1</v>
      </c>
    </row>
    <row r="687" spans="4:8" ht="29.25" customHeight="1" x14ac:dyDescent="0.3">
      <c r="D687" s="34">
        <v>45090</v>
      </c>
      <c r="E687">
        <f t="shared" si="23"/>
        <v>19574</v>
      </c>
      <c r="G687" s="34">
        <v>45090</v>
      </c>
      <c r="H687" s="34" t="b">
        <f t="shared" si="24"/>
        <v>1</v>
      </c>
    </row>
    <row r="688" spans="4:8" ht="29.25" customHeight="1" x14ac:dyDescent="0.3">
      <c r="D688" s="34">
        <v>45091</v>
      </c>
      <c r="E688">
        <f t="shared" si="23"/>
        <v>21250</v>
      </c>
      <c r="G688" s="34">
        <v>45091</v>
      </c>
      <c r="H688" s="34" t="b">
        <f t="shared" si="24"/>
        <v>1</v>
      </c>
    </row>
    <row r="689" spans="4:8" ht="29.25" customHeight="1" x14ac:dyDescent="0.3">
      <c r="D689" s="34">
        <v>45092</v>
      </c>
      <c r="E689">
        <f t="shared" si="23"/>
        <v>21250</v>
      </c>
      <c r="G689" s="34">
        <v>45092</v>
      </c>
      <c r="H689" s="34" t="b">
        <f t="shared" si="24"/>
        <v>1</v>
      </c>
    </row>
    <row r="690" spans="4:8" ht="29.25" customHeight="1" x14ac:dyDescent="0.3">
      <c r="D690" s="34">
        <v>45093</v>
      </c>
      <c r="E690">
        <f t="shared" si="23"/>
        <v>21250</v>
      </c>
      <c r="G690" s="34">
        <v>45093</v>
      </c>
      <c r="H690" s="34" t="b">
        <f t="shared" si="24"/>
        <v>1</v>
      </c>
    </row>
    <row r="691" spans="4:8" ht="29.25" customHeight="1" x14ac:dyDescent="0.3">
      <c r="D691" s="34">
        <v>45096</v>
      </c>
      <c r="E691">
        <f t="shared" si="23"/>
        <v>21250</v>
      </c>
      <c r="G691" s="34">
        <v>45096</v>
      </c>
      <c r="H691" s="34" t="b">
        <f t="shared" si="24"/>
        <v>1</v>
      </c>
    </row>
    <row r="692" spans="4:8" ht="29.25" customHeight="1" x14ac:dyDescent="0.3">
      <c r="D692" s="34">
        <v>45097</v>
      </c>
      <c r="E692">
        <f t="shared" si="23"/>
        <v>21250</v>
      </c>
      <c r="G692" s="34">
        <v>45097</v>
      </c>
      <c r="H692" s="34" t="b">
        <f t="shared" si="24"/>
        <v>1</v>
      </c>
    </row>
    <row r="693" spans="4:8" ht="29.25" customHeight="1" x14ac:dyDescent="0.3">
      <c r="D693" s="34">
        <v>45098</v>
      </c>
      <c r="E693">
        <f t="shared" si="23"/>
        <v>18535</v>
      </c>
      <c r="G693" s="34">
        <v>45098</v>
      </c>
      <c r="H693" s="34" t="b">
        <f t="shared" si="24"/>
        <v>1</v>
      </c>
    </row>
    <row r="694" spans="4:8" ht="29.25" customHeight="1" x14ac:dyDescent="0.3">
      <c r="D694" s="34">
        <v>45099</v>
      </c>
      <c r="E694">
        <f t="shared" si="23"/>
        <v>18535</v>
      </c>
      <c r="G694" s="34">
        <v>45099</v>
      </c>
      <c r="H694" s="34" t="b">
        <f t="shared" si="24"/>
        <v>1</v>
      </c>
    </row>
    <row r="695" spans="4:8" ht="29.25" customHeight="1" x14ac:dyDescent="0.3">
      <c r="D695" s="34">
        <v>45100</v>
      </c>
      <c r="E695">
        <f t="shared" si="23"/>
        <v>18535</v>
      </c>
      <c r="G695" s="34">
        <v>45100</v>
      </c>
      <c r="H695" s="34" t="b">
        <f t="shared" si="24"/>
        <v>1</v>
      </c>
    </row>
    <row r="696" spans="4:8" ht="29.25" customHeight="1" x14ac:dyDescent="0.3">
      <c r="D696" s="34">
        <v>45103</v>
      </c>
      <c r="E696">
        <f t="shared" si="23"/>
        <v>18535</v>
      </c>
      <c r="G696" s="34">
        <v>45103</v>
      </c>
      <c r="H696" s="34" t="b">
        <f t="shared" si="24"/>
        <v>1</v>
      </c>
    </row>
    <row r="697" spans="4:8" ht="29.25" customHeight="1" x14ac:dyDescent="0.3">
      <c r="D697" s="34">
        <v>45104</v>
      </c>
      <c r="E697">
        <f t="shared" si="23"/>
        <v>18535</v>
      </c>
      <c r="G697" s="34">
        <v>45104</v>
      </c>
      <c r="H697" s="34" t="b">
        <f t="shared" si="24"/>
        <v>1</v>
      </c>
    </row>
    <row r="698" spans="4:8" ht="29.25" customHeight="1" x14ac:dyDescent="0.3">
      <c r="D698" s="34">
        <v>45105</v>
      </c>
      <c r="E698">
        <f t="shared" si="23"/>
        <v>20394</v>
      </c>
      <c r="G698" s="34">
        <v>45105</v>
      </c>
      <c r="H698" s="34" t="b">
        <f t="shared" si="24"/>
        <v>1</v>
      </c>
    </row>
    <row r="699" spans="4:8" ht="29.25" customHeight="1" x14ac:dyDescent="0.3">
      <c r="D699" s="34">
        <v>45106</v>
      </c>
      <c r="E699">
        <f t="shared" si="23"/>
        <v>20394</v>
      </c>
      <c r="G699" s="34">
        <v>45106</v>
      </c>
      <c r="H699" s="34" t="b">
        <f t="shared" si="24"/>
        <v>1</v>
      </c>
    </row>
    <row r="700" spans="4:8" ht="29.25" customHeight="1" x14ac:dyDescent="0.3">
      <c r="D700" s="34">
        <v>45107</v>
      </c>
      <c r="E700">
        <f t="shared" si="23"/>
        <v>20394</v>
      </c>
      <c r="G700" s="34">
        <v>45107</v>
      </c>
      <c r="H700" s="34" t="b">
        <f t="shared" si="24"/>
        <v>1</v>
      </c>
    </row>
    <row r="701" spans="4:8" ht="29.25" customHeight="1" x14ac:dyDescent="0.3">
      <c r="D701" s="34">
        <v>45110</v>
      </c>
      <c r="E701">
        <f t="shared" si="23"/>
        <v>20394</v>
      </c>
      <c r="G701" s="34">
        <v>45110</v>
      </c>
      <c r="H701" s="34" t="b">
        <f t="shared" si="24"/>
        <v>1</v>
      </c>
    </row>
    <row r="702" spans="4:8" ht="29.25" customHeight="1" x14ac:dyDescent="0.3">
      <c r="D702" s="34">
        <v>45111</v>
      </c>
      <c r="E702">
        <f t="shared" si="23"/>
        <v>20394</v>
      </c>
      <c r="G702" s="34">
        <v>45111</v>
      </c>
      <c r="H702" s="34" t="b">
        <f t="shared" si="24"/>
        <v>1</v>
      </c>
    </row>
    <row r="703" spans="4:8" ht="29.25" customHeight="1" x14ac:dyDescent="0.3">
      <c r="D703" s="34">
        <v>45112</v>
      </c>
      <c r="E703">
        <f t="shared" si="23"/>
        <v>20571</v>
      </c>
      <c r="G703" s="34">
        <v>45112</v>
      </c>
      <c r="H703" s="34" t="b">
        <f t="shared" si="24"/>
        <v>1</v>
      </c>
    </row>
    <row r="704" spans="4:8" ht="29.25" customHeight="1" x14ac:dyDescent="0.3">
      <c r="D704" s="34">
        <v>45113</v>
      </c>
      <c r="E704">
        <f t="shared" si="23"/>
        <v>20571</v>
      </c>
      <c r="G704" s="34">
        <v>45113</v>
      </c>
      <c r="H704" s="34" t="b">
        <f t="shared" si="24"/>
        <v>1</v>
      </c>
    </row>
    <row r="705" spans="4:8" ht="29.25" customHeight="1" x14ac:dyDescent="0.3">
      <c r="D705" s="34">
        <v>45114</v>
      </c>
      <c r="E705">
        <f t="shared" si="23"/>
        <v>20571</v>
      </c>
      <c r="G705" s="34">
        <v>45114</v>
      </c>
      <c r="H705" s="34" t="b">
        <f t="shared" si="24"/>
        <v>1</v>
      </c>
    </row>
    <row r="706" spans="4:8" ht="29.25" customHeight="1" x14ac:dyDescent="0.3">
      <c r="D706" s="34">
        <v>45117</v>
      </c>
      <c r="E706">
        <f t="shared" si="23"/>
        <v>20571</v>
      </c>
      <c r="G706" s="34">
        <v>45117</v>
      </c>
      <c r="H706" s="34" t="b">
        <f t="shared" si="24"/>
        <v>1</v>
      </c>
    </row>
    <row r="707" spans="4:8" ht="29.25" customHeight="1" x14ac:dyDescent="0.3">
      <c r="D707" s="34">
        <v>45118</v>
      </c>
      <c r="E707">
        <f t="shared" ref="E707:E770" si="25">LOOKUP(D707,A:A,B:B)</f>
        <v>20571</v>
      </c>
      <c r="G707" s="34">
        <v>45118</v>
      </c>
      <c r="H707" s="34" t="b">
        <f t="shared" ref="H707:H770" si="26">G707=D707</f>
        <v>1</v>
      </c>
    </row>
    <row r="708" spans="4:8" ht="29.25" customHeight="1" x14ac:dyDescent="0.3">
      <c r="D708" s="34">
        <v>45119</v>
      </c>
      <c r="E708">
        <f t="shared" si="25"/>
        <v>18354</v>
      </c>
      <c r="G708" s="34">
        <v>45119</v>
      </c>
      <c r="H708" s="34" t="b">
        <f t="shared" si="26"/>
        <v>1</v>
      </c>
    </row>
    <row r="709" spans="4:8" ht="29.25" customHeight="1" x14ac:dyDescent="0.3">
      <c r="D709" s="34">
        <v>45120</v>
      </c>
      <c r="E709">
        <f t="shared" si="25"/>
        <v>18354</v>
      </c>
      <c r="G709" s="34">
        <v>45120</v>
      </c>
      <c r="H709" s="34" t="b">
        <f t="shared" si="26"/>
        <v>1</v>
      </c>
    </row>
    <row r="710" spans="4:8" ht="29.25" customHeight="1" x14ac:dyDescent="0.3">
      <c r="D710" s="34">
        <v>45121</v>
      </c>
      <c r="E710">
        <f t="shared" si="25"/>
        <v>18354</v>
      </c>
      <c r="G710" s="34">
        <v>45121</v>
      </c>
      <c r="H710" s="34" t="b">
        <f t="shared" si="26"/>
        <v>1</v>
      </c>
    </row>
    <row r="711" spans="4:8" ht="29.25" customHeight="1" x14ac:dyDescent="0.3">
      <c r="D711" s="34">
        <v>45124</v>
      </c>
      <c r="E711">
        <f t="shared" si="25"/>
        <v>18354</v>
      </c>
      <c r="G711" s="34">
        <v>45124</v>
      </c>
      <c r="H711" s="34" t="b">
        <f t="shared" si="26"/>
        <v>1</v>
      </c>
    </row>
    <row r="712" spans="4:8" ht="29.25" customHeight="1" x14ac:dyDescent="0.3">
      <c r="D712" s="34">
        <v>45125</v>
      </c>
      <c r="E712">
        <f t="shared" si="25"/>
        <v>18354</v>
      </c>
      <c r="G712" s="34">
        <v>45125</v>
      </c>
      <c r="H712" s="34" t="b">
        <f t="shared" si="26"/>
        <v>1</v>
      </c>
    </row>
    <row r="713" spans="4:8" ht="29.25" customHeight="1" x14ac:dyDescent="0.3">
      <c r="D713" s="34">
        <v>45126</v>
      </c>
      <c r="E713">
        <f t="shared" si="25"/>
        <v>17807</v>
      </c>
      <c r="G713" s="34">
        <v>45126</v>
      </c>
      <c r="H713" s="34" t="b">
        <f t="shared" si="26"/>
        <v>1</v>
      </c>
    </row>
    <row r="714" spans="4:8" ht="29.25" customHeight="1" x14ac:dyDescent="0.3">
      <c r="D714" s="34">
        <v>45127</v>
      </c>
      <c r="E714">
        <f t="shared" si="25"/>
        <v>17807</v>
      </c>
      <c r="G714" s="34">
        <v>45127</v>
      </c>
      <c r="H714" s="34" t="b">
        <f t="shared" si="26"/>
        <v>1</v>
      </c>
    </row>
    <row r="715" spans="4:8" ht="29.25" customHeight="1" x14ac:dyDescent="0.3">
      <c r="D715" s="34">
        <v>45128</v>
      </c>
      <c r="E715">
        <f t="shared" si="25"/>
        <v>17807</v>
      </c>
      <c r="G715" s="34">
        <v>45128</v>
      </c>
      <c r="H715" s="34" t="b">
        <f t="shared" si="26"/>
        <v>1</v>
      </c>
    </row>
    <row r="716" spans="4:8" ht="29.25" customHeight="1" x14ac:dyDescent="0.3">
      <c r="D716" s="34">
        <v>45131</v>
      </c>
      <c r="E716">
        <f t="shared" si="25"/>
        <v>17807</v>
      </c>
      <c r="G716" s="34">
        <v>45131</v>
      </c>
      <c r="H716" s="34" t="b">
        <f t="shared" si="26"/>
        <v>1</v>
      </c>
    </row>
    <row r="717" spans="4:8" ht="29.25" customHeight="1" x14ac:dyDescent="0.3">
      <c r="D717" s="34">
        <v>45132</v>
      </c>
      <c r="E717">
        <f t="shared" si="25"/>
        <v>17807</v>
      </c>
      <c r="G717" s="34">
        <v>45132</v>
      </c>
      <c r="H717" s="34" t="b">
        <f t="shared" si="26"/>
        <v>1</v>
      </c>
    </row>
    <row r="718" spans="4:8" ht="29.25" customHeight="1" x14ac:dyDescent="0.3">
      <c r="D718" s="34">
        <v>45133</v>
      </c>
      <c r="E718">
        <f t="shared" si="25"/>
        <v>20923</v>
      </c>
      <c r="G718" s="34">
        <v>45133</v>
      </c>
      <c r="H718" s="34" t="b">
        <f t="shared" si="26"/>
        <v>1</v>
      </c>
    </row>
    <row r="719" spans="4:8" ht="29.25" customHeight="1" x14ac:dyDescent="0.3">
      <c r="D719" s="34">
        <v>45134</v>
      </c>
      <c r="E719">
        <f t="shared" si="25"/>
        <v>20923</v>
      </c>
      <c r="G719" s="34">
        <v>45134</v>
      </c>
      <c r="H719" s="34" t="b">
        <f t="shared" si="26"/>
        <v>1</v>
      </c>
    </row>
    <row r="720" spans="4:8" ht="29.25" customHeight="1" x14ac:dyDescent="0.3">
      <c r="D720" s="34">
        <v>45135</v>
      </c>
      <c r="E720">
        <f t="shared" si="25"/>
        <v>20923</v>
      </c>
      <c r="G720" s="34">
        <v>45135</v>
      </c>
      <c r="H720" s="34" t="b">
        <f t="shared" si="26"/>
        <v>1</v>
      </c>
    </row>
    <row r="721" spans="4:8" ht="29.25" customHeight="1" x14ac:dyDescent="0.3">
      <c r="D721" s="34">
        <v>45138</v>
      </c>
      <c r="E721">
        <f t="shared" si="25"/>
        <v>20923</v>
      </c>
      <c r="G721" s="34">
        <v>45138</v>
      </c>
      <c r="H721" s="34" t="b">
        <f t="shared" si="26"/>
        <v>1</v>
      </c>
    </row>
    <row r="722" spans="4:8" ht="29.25" customHeight="1" x14ac:dyDescent="0.3">
      <c r="D722" s="34">
        <v>45139</v>
      </c>
      <c r="E722">
        <f t="shared" si="25"/>
        <v>20923</v>
      </c>
      <c r="G722" s="34">
        <v>45139</v>
      </c>
      <c r="H722" s="34" t="b">
        <f t="shared" si="26"/>
        <v>1</v>
      </c>
    </row>
    <row r="723" spans="4:8" ht="29.25" customHeight="1" x14ac:dyDescent="0.3">
      <c r="D723" s="34">
        <v>45140</v>
      </c>
      <c r="E723">
        <f t="shared" si="25"/>
        <v>22921</v>
      </c>
      <c r="G723" s="34">
        <v>45140</v>
      </c>
      <c r="H723" s="34" t="b">
        <f t="shared" si="26"/>
        <v>1</v>
      </c>
    </row>
    <row r="724" spans="4:8" ht="29.25" customHeight="1" x14ac:dyDescent="0.3">
      <c r="D724" s="34">
        <v>45141</v>
      </c>
      <c r="E724">
        <f t="shared" si="25"/>
        <v>22921</v>
      </c>
      <c r="G724" s="34">
        <v>45141</v>
      </c>
      <c r="H724" s="34" t="b">
        <f t="shared" si="26"/>
        <v>1</v>
      </c>
    </row>
    <row r="725" spans="4:8" ht="29.25" customHeight="1" x14ac:dyDescent="0.3">
      <c r="D725" s="34">
        <v>45142</v>
      </c>
      <c r="E725">
        <f t="shared" si="25"/>
        <v>22921</v>
      </c>
      <c r="G725" s="34">
        <v>45142</v>
      </c>
      <c r="H725" s="34" t="b">
        <f t="shared" si="26"/>
        <v>1</v>
      </c>
    </row>
    <row r="726" spans="4:8" ht="29.25" customHeight="1" x14ac:dyDescent="0.3">
      <c r="D726" s="34">
        <v>45145</v>
      </c>
      <c r="E726">
        <f t="shared" si="25"/>
        <v>22921</v>
      </c>
      <c r="G726" s="34">
        <v>45145</v>
      </c>
      <c r="H726" s="34" t="b">
        <f t="shared" si="26"/>
        <v>1</v>
      </c>
    </row>
    <row r="727" spans="4:8" ht="29.25" customHeight="1" x14ac:dyDescent="0.3">
      <c r="D727" s="34">
        <v>45146</v>
      </c>
      <c r="E727">
        <f t="shared" si="25"/>
        <v>22921</v>
      </c>
      <c r="G727" s="34">
        <v>45146</v>
      </c>
      <c r="H727" s="34" t="b">
        <f t="shared" si="26"/>
        <v>1</v>
      </c>
    </row>
    <row r="728" spans="4:8" ht="29.25" customHeight="1" x14ac:dyDescent="0.3">
      <c r="D728" s="34">
        <v>45147</v>
      </c>
      <c r="E728">
        <f t="shared" si="25"/>
        <v>20466</v>
      </c>
      <c r="G728" s="34">
        <v>45147</v>
      </c>
      <c r="H728" s="34" t="b">
        <f t="shared" si="26"/>
        <v>1</v>
      </c>
    </row>
    <row r="729" spans="4:8" ht="29.25" customHeight="1" x14ac:dyDescent="0.3">
      <c r="D729" s="34">
        <v>45148</v>
      </c>
      <c r="E729">
        <f t="shared" si="25"/>
        <v>20466</v>
      </c>
      <c r="G729" s="34">
        <v>45148</v>
      </c>
      <c r="H729" s="34" t="b">
        <f t="shared" si="26"/>
        <v>1</v>
      </c>
    </row>
    <row r="730" spans="4:8" ht="29.25" customHeight="1" x14ac:dyDescent="0.3">
      <c r="D730" s="34">
        <v>45149</v>
      </c>
      <c r="E730">
        <f t="shared" si="25"/>
        <v>20466</v>
      </c>
      <c r="G730" s="34">
        <v>45149</v>
      </c>
      <c r="H730" s="34" t="b">
        <f t="shared" si="26"/>
        <v>1</v>
      </c>
    </row>
    <row r="731" spans="4:8" ht="29.25" customHeight="1" x14ac:dyDescent="0.3">
      <c r="D731" s="34">
        <v>45152</v>
      </c>
      <c r="E731">
        <f t="shared" si="25"/>
        <v>20466</v>
      </c>
      <c r="G731" s="34">
        <v>45152</v>
      </c>
      <c r="H731" s="34" t="b">
        <f t="shared" si="26"/>
        <v>1</v>
      </c>
    </row>
    <row r="732" spans="4:8" ht="29.25" customHeight="1" x14ac:dyDescent="0.3">
      <c r="D732" s="34">
        <v>45153</v>
      </c>
      <c r="E732">
        <f t="shared" si="25"/>
        <v>20466</v>
      </c>
      <c r="G732" s="34">
        <v>45153</v>
      </c>
      <c r="H732" s="34" t="b">
        <f t="shared" si="26"/>
        <v>1</v>
      </c>
    </row>
    <row r="733" spans="4:8" ht="29.25" customHeight="1" x14ac:dyDescent="0.3">
      <c r="D733" s="34">
        <v>45154</v>
      </c>
      <c r="E733">
        <f t="shared" si="25"/>
        <v>20081</v>
      </c>
      <c r="G733" s="34">
        <v>45154</v>
      </c>
      <c r="H733" s="34" t="b">
        <f t="shared" si="26"/>
        <v>1</v>
      </c>
    </row>
    <row r="734" spans="4:8" ht="29.25" customHeight="1" x14ac:dyDescent="0.3">
      <c r="D734" s="34">
        <v>45155</v>
      </c>
      <c r="E734">
        <f t="shared" si="25"/>
        <v>20081</v>
      </c>
      <c r="G734" s="34">
        <v>45155</v>
      </c>
      <c r="H734" s="34" t="b">
        <f t="shared" si="26"/>
        <v>1</v>
      </c>
    </row>
    <row r="735" spans="4:8" ht="29.25" customHeight="1" x14ac:dyDescent="0.3">
      <c r="D735" s="34">
        <v>45156</v>
      </c>
      <c r="E735">
        <f t="shared" si="25"/>
        <v>20081</v>
      </c>
      <c r="G735" s="34">
        <v>45156</v>
      </c>
      <c r="H735" s="34" t="b">
        <f t="shared" si="26"/>
        <v>1</v>
      </c>
    </row>
    <row r="736" spans="4:8" ht="29.25" customHeight="1" x14ac:dyDescent="0.3">
      <c r="D736" s="34">
        <v>45159</v>
      </c>
      <c r="E736">
        <f t="shared" si="25"/>
        <v>20081</v>
      </c>
      <c r="G736" s="34">
        <v>45159</v>
      </c>
      <c r="H736" s="34" t="b">
        <f t="shared" si="26"/>
        <v>1</v>
      </c>
    </row>
    <row r="737" spans="4:8" ht="29.25" customHeight="1" x14ac:dyDescent="0.3">
      <c r="D737" s="34">
        <v>45160</v>
      </c>
      <c r="E737">
        <f t="shared" si="25"/>
        <v>20081</v>
      </c>
      <c r="G737" s="34">
        <v>45160</v>
      </c>
      <c r="H737" s="34" t="b">
        <f t="shared" si="26"/>
        <v>1</v>
      </c>
    </row>
    <row r="738" spans="4:8" ht="29.25" customHeight="1" x14ac:dyDescent="0.3">
      <c r="D738" s="34">
        <v>45161</v>
      </c>
      <c r="E738">
        <f t="shared" si="25"/>
        <v>22099</v>
      </c>
      <c r="G738" s="34">
        <v>45161</v>
      </c>
      <c r="H738" s="34" t="b">
        <f t="shared" si="26"/>
        <v>1</v>
      </c>
    </row>
    <row r="739" spans="4:8" ht="29.25" customHeight="1" x14ac:dyDescent="0.3">
      <c r="D739" s="34">
        <v>45162</v>
      </c>
      <c r="E739">
        <f t="shared" si="25"/>
        <v>22099</v>
      </c>
      <c r="G739" s="34">
        <v>45162</v>
      </c>
      <c r="H739" s="34" t="b">
        <f t="shared" si="26"/>
        <v>1</v>
      </c>
    </row>
    <row r="740" spans="4:8" ht="29.25" customHeight="1" x14ac:dyDescent="0.3">
      <c r="D740" s="34">
        <v>45163</v>
      </c>
      <c r="E740">
        <f t="shared" si="25"/>
        <v>22099</v>
      </c>
      <c r="G740" s="34">
        <v>45163</v>
      </c>
      <c r="H740" s="34" t="b">
        <f t="shared" si="26"/>
        <v>1</v>
      </c>
    </row>
    <row r="741" spans="4:8" ht="29.25" customHeight="1" x14ac:dyDescent="0.3">
      <c r="D741" s="34">
        <v>45166</v>
      </c>
      <c r="E741">
        <f t="shared" si="25"/>
        <v>22099</v>
      </c>
      <c r="G741" s="34">
        <v>45166</v>
      </c>
      <c r="H741" s="34" t="b">
        <f t="shared" si="26"/>
        <v>1</v>
      </c>
    </row>
    <row r="742" spans="4:8" ht="29.25" customHeight="1" x14ac:dyDescent="0.3">
      <c r="D742" s="34">
        <v>45167</v>
      </c>
      <c r="E742">
        <f t="shared" si="25"/>
        <v>22099</v>
      </c>
      <c r="G742" s="34">
        <v>45167</v>
      </c>
      <c r="H742" s="34" t="b">
        <f t="shared" si="26"/>
        <v>1</v>
      </c>
    </row>
    <row r="743" spans="4:8" ht="29.25" customHeight="1" x14ac:dyDescent="0.3">
      <c r="D743" s="34">
        <v>45168</v>
      </c>
      <c r="E743">
        <f t="shared" si="25"/>
        <v>19915</v>
      </c>
      <c r="G743" s="34">
        <v>45168</v>
      </c>
      <c r="H743" s="34" t="b">
        <f t="shared" si="26"/>
        <v>1</v>
      </c>
    </row>
    <row r="744" spans="4:8" ht="29.25" customHeight="1" x14ac:dyDescent="0.3">
      <c r="D744" s="34">
        <v>45169</v>
      </c>
      <c r="E744">
        <f t="shared" si="25"/>
        <v>19915</v>
      </c>
      <c r="G744" s="34">
        <v>45169</v>
      </c>
      <c r="H744" s="34" t="b">
        <f t="shared" si="26"/>
        <v>1</v>
      </c>
    </row>
    <row r="745" spans="4:8" ht="29.25" customHeight="1" x14ac:dyDescent="0.3">
      <c r="D745" s="34">
        <v>45170</v>
      </c>
      <c r="E745">
        <f t="shared" si="25"/>
        <v>19915</v>
      </c>
      <c r="G745" s="34">
        <v>45170</v>
      </c>
      <c r="H745" s="34" t="b">
        <f t="shared" si="26"/>
        <v>1</v>
      </c>
    </row>
    <row r="746" spans="4:8" ht="29.25" customHeight="1" x14ac:dyDescent="0.3">
      <c r="D746" s="34">
        <v>45173</v>
      </c>
      <c r="E746">
        <f t="shared" si="25"/>
        <v>19915</v>
      </c>
      <c r="G746" s="34">
        <v>45173</v>
      </c>
      <c r="H746" s="34" t="b">
        <f t="shared" si="26"/>
        <v>1</v>
      </c>
    </row>
    <row r="747" spans="4:8" ht="29.25" customHeight="1" x14ac:dyDescent="0.3">
      <c r="D747" s="34">
        <v>45174</v>
      </c>
      <c r="E747">
        <f t="shared" si="25"/>
        <v>19915</v>
      </c>
      <c r="G747" s="34">
        <v>45174</v>
      </c>
      <c r="H747" s="34" t="b">
        <f t="shared" si="26"/>
        <v>1</v>
      </c>
    </row>
    <row r="748" spans="4:8" ht="29.25" customHeight="1" x14ac:dyDescent="0.3">
      <c r="D748" s="34">
        <v>45175</v>
      </c>
      <c r="E748">
        <f t="shared" si="25"/>
        <v>19450</v>
      </c>
      <c r="G748" s="34">
        <v>45175</v>
      </c>
      <c r="H748" s="34" t="b">
        <f t="shared" si="26"/>
        <v>1</v>
      </c>
    </row>
    <row r="749" spans="4:8" ht="29.25" customHeight="1" x14ac:dyDescent="0.3">
      <c r="D749" s="34">
        <v>45176</v>
      </c>
      <c r="E749">
        <f t="shared" si="25"/>
        <v>19450</v>
      </c>
      <c r="G749" s="34">
        <v>45176</v>
      </c>
      <c r="H749" s="34" t="b">
        <f t="shared" si="26"/>
        <v>1</v>
      </c>
    </row>
    <row r="750" spans="4:8" ht="29.25" customHeight="1" x14ac:dyDescent="0.3">
      <c r="D750" s="34">
        <v>45177</v>
      </c>
      <c r="E750">
        <f t="shared" si="25"/>
        <v>19450</v>
      </c>
      <c r="G750" s="34">
        <v>45177</v>
      </c>
      <c r="H750" s="34" t="b">
        <f t="shared" si="26"/>
        <v>1</v>
      </c>
    </row>
    <row r="751" spans="4:8" ht="29.25" customHeight="1" x14ac:dyDescent="0.3">
      <c r="D751" s="34">
        <v>45180</v>
      </c>
      <c r="E751">
        <f t="shared" si="25"/>
        <v>19450</v>
      </c>
      <c r="G751" s="34">
        <v>45180</v>
      </c>
      <c r="H751" s="34" t="b">
        <f t="shared" si="26"/>
        <v>1</v>
      </c>
    </row>
    <row r="752" spans="4:8" ht="29.25" customHeight="1" x14ac:dyDescent="0.3">
      <c r="D752" s="34">
        <v>45181</v>
      </c>
      <c r="E752">
        <f t="shared" si="25"/>
        <v>19450</v>
      </c>
      <c r="G752" s="34">
        <v>45181</v>
      </c>
      <c r="H752" s="34" t="b">
        <f t="shared" si="26"/>
        <v>1</v>
      </c>
    </row>
    <row r="753" spans="4:8" ht="29.25" customHeight="1" x14ac:dyDescent="0.3">
      <c r="D753" s="34">
        <v>45182</v>
      </c>
      <c r="E753">
        <f t="shared" si="25"/>
        <v>20770</v>
      </c>
      <c r="G753" s="34">
        <v>45182</v>
      </c>
      <c r="H753" s="34" t="b">
        <f t="shared" si="26"/>
        <v>1</v>
      </c>
    </row>
    <row r="754" spans="4:8" ht="29.25" customHeight="1" x14ac:dyDescent="0.3">
      <c r="D754" s="34">
        <v>45183</v>
      </c>
      <c r="E754">
        <f t="shared" si="25"/>
        <v>20770</v>
      </c>
      <c r="G754" s="34">
        <v>45183</v>
      </c>
      <c r="H754" s="34" t="b">
        <f t="shared" si="26"/>
        <v>1</v>
      </c>
    </row>
    <row r="755" spans="4:8" ht="29.25" customHeight="1" x14ac:dyDescent="0.3">
      <c r="D755" s="34">
        <v>45184</v>
      </c>
      <c r="E755">
        <f t="shared" si="25"/>
        <v>20770</v>
      </c>
      <c r="G755" s="34">
        <v>45184</v>
      </c>
      <c r="H755" s="34" t="b">
        <f t="shared" si="26"/>
        <v>1</v>
      </c>
    </row>
    <row r="756" spans="4:8" ht="29.25" customHeight="1" x14ac:dyDescent="0.3">
      <c r="D756" s="34">
        <v>45187</v>
      </c>
      <c r="E756">
        <f t="shared" si="25"/>
        <v>20770</v>
      </c>
      <c r="G756" s="34">
        <v>45187</v>
      </c>
      <c r="H756" s="34" t="b">
        <f t="shared" si="26"/>
        <v>1</v>
      </c>
    </row>
    <row r="757" spans="4:8" ht="29.25" customHeight="1" x14ac:dyDescent="0.3">
      <c r="D757" s="34">
        <v>45188</v>
      </c>
      <c r="E757">
        <f t="shared" si="25"/>
        <v>20770</v>
      </c>
      <c r="G757" s="34">
        <v>45188</v>
      </c>
      <c r="H757" s="34" t="b">
        <f t="shared" si="26"/>
        <v>1</v>
      </c>
    </row>
    <row r="758" spans="4:8" ht="29.25" customHeight="1" x14ac:dyDescent="0.3">
      <c r="D758" s="34">
        <v>45189</v>
      </c>
      <c r="E758">
        <f t="shared" si="25"/>
        <v>21855</v>
      </c>
      <c r="G758" s="34">
        <v>45189</v>
      </c>
      <c r="H758" s="34" t="b">
        <f t="shared" si="26"/>
        <v>1</v>
      </c>
    </row>
    <row r="759" spans="4:8" ht="29.25" customHeight="1" x14ac:dyDescent="0.3">
      <c r="D759" s="34">
        <v>45190</v>
      </c>
      <c r="E759">
        <f t="shared" si="25"/>
        <v>21855</v>
      </c>
      <c r="G759" s="34">
        <v>45190</v>
      </c>
      <c r="H759" s="34" t="b">
        <f t="shared" si="26"/>
        <v>1</v>
      </c>
    </row>
    <row r="760" spans="4:8" ht="29.25" customHeight="1" x14ac:dyDescent="0.3">
      <c r="D760" s="34">
        <v>45191</v>
      </c>
      <c r="E760">
        <f t="shared" si="25"/>
        <v>21855</v>
      </c>
      <c r="G760" s="34">
        <v>45191</v>
      </c>
      <c r="H760" s="34" t="b">
        <f t="shared" si="26"/>
        <v>1</v>
      </c>
    </row>
    <row r="761" spans="4:8" ht="29.25" customHeight="1" x14ac:dyDescent="0.3">
      <c r="D761" s="34">
        <v>45194</v>
      </c>
      <c r="E761">
        <f t="shared" si="25"/>
        <v>21855</v>
      </c>
      <c r="G761" s="34">
        <v>45194</v>
      </c>
      <c r="H761" s="34" t="b">
        <f t="shared" si="26"/>
        <v>1</v>
      </c>
    </row>
    <row r="762" spans="4:8" ht="29.25" customHeight="1" x14ac:dyDescent="0.3">
      <c r="D762" s="34">
        <v>45195</v>
      </c>
      <c r="E762">
        <f t="shared" si="25"/>
        <v>21855</v>
      </c>
      <c r="G762" s="34">
        <v>45195</v>
      </c>
      <c r="H762" s="34" t="b">
        <f t="shared" si="26"/>
        <v>1</v>
      </c>
    </row>
    <row r="763" spans="4:8" ht="29.25" customHeight="1" x14ac:dyDescent="0.3">
      <c r="D763" s="34">
        <v>45196</v>
      </c>
      <c r="E763">
        <f t="shared" si="25"/>
        <v>19774</v>
      </c>
      <c r="G763" s="34">
        <v>45196</v>
      </c>
      <c r="H763" s="34" t="b">
        <f t="shared" si="26"/>
        <v>1</v>
      </c>
    </row>
    <row r="764" spans="4:8" ht="29.25" customHeight="1" x14ac:dyDescent="0.3">
      <c r="D764" s="34">
        <v>45197</v>
      </c>
      <c r="E764">
        <f t="shared" si="25"/>
        <v>19774</v>
      </c>
      <c r="G764" s="34">
        <v>45197</v>
      </c>
      <c r="H764" s="34" t="b">
        <f t="shared" si="26"/>
        <v>1</v>
      </c>
    </row>
    <row r="765" spans="4:8" ht="29.25" customHeight="1" x14ac:dyDescent="0.3">
      <c r="D765" s="34">
        <v>45198</v>
      </c>
      <c r="E765">
        <f t="shared" si="25"/>
        <v>19774</v>
      </c>
      <c r="G765" s="34">
        <v>45198</v>
      </c>
      <c r="H765" s="34" t="b">
        <f t="shared" si="26"/>
        <v>1</v>
      </c>
    </row>
    <row r="766" spans="4:8" ht="29.25" customHeight="1" x14ac:dyDescent="0.3">
      <c r="D766" s="34">
        <v>45201</v>
      </c>
      <c r="E766">
        <f t="shared" si="25"/>
        <v>19774</v>
      </c>
      <c r="G766" s="34">
        <v>45201</v>
      </c>
      <c r="H766" s="34" t="b">
        <f t="shared" si="26"/>
        <v>1</v>
      </c>
    </row>
    <row r="767" spans="4:8" ht="29.25" customHeight="1" x14ac:dyDescent="0.3">
      <c r="D767" s="34">
        <v>45202</v>
      </c>
      <c r="E767">
        <f t="shared" si="25"/>
        <v>19774</v>
      </c>
      <c r="G767" s="34">
        <v>45202</v>
      </c>
      <c r="H767" s="34" t="b">
        <f t="shared" si="26"/>
        <v>1</v>
      </c>
    </row>
    <row r="768" spans="4:8" ht="29.25" customHeight="1" x14ac:dyDescent="0.3">
      <c r="D768" s="34">
        <v>45203</v>
      </c>
      <c r="E768">
        <f t="shared" si="25"/>
        <v>19373</v>
      </c>
      <c r="G768" s="34">
        <v>45203</v>
      </c>
      <c r="H768" s="34" t="b">
        <f t="shared" si="26"/>
        <v>1</v>
      </c>
    </row>
    <row r="769" spans="4:8" ht="29.25" customHeight="1" x14ac:dyDescent="0.3">
      <c r="D769" s="34">
        <v>45204</v>
      </c>
      <c r="E769">
        <f t="shared" si="25"/>
        <v>19373</v>
      </c>
      <c r="G769" s="34">
        <v>45204</v>
      </c>
      <c r="H769" s="34" t="b">
        <f t="shared" si="26"/>
        <v>1</v>
      </c>
    </row>
    <row r="770" spans="4:8" ht="29.25" customHeight="1" x14ac:dyDescent="0.3">
      <c r="D770" s="34">
        <v>45205</v>
      </c>
      <c r="E770">
        <f t="shared" si="25"/>
        <v>19373</v>
      </c>
      <c r="G770" s="34">
        <v>45205</v>
      </c>
      <c r="H770" s="34" t="b">
        <f t="shared" si="26"/>
        <v>1</v>
      </c>
    </row>
    <row r="771" spans="4:8" ht="29.25" customHeight="1" x14ac:dyDescent="0.3">
      <c r="D771" s="34">
        <v>45208</v>
      </c>
      <c r="E771">
        <f t="shared" ref="E771:E834" si="27">LOOKUP(D771,A:A,B:B)</f>
        <v>19373</v>
      </c>
      <c r="G771" s="34">
        <v>45208</v>
      </c>
      <c r="H771" s="34" t="b">
        <f t="shared" ref="H771:H834" si="28">G771=D771</f>
        <v>1</v>
      </c>
    </row>
    <row r="772" spans="4:8" ht="29.25" customHeight="1" x14ac:dyDescent="0.3">
      <c r="D772" s="34">
        <v>45209</v>
      </c>
      <c r="E772">
        <f t="shared" si="27"/>
        <v>19373</v>
      </c>
      <c r="G772" s="34">
        <v>45209</v>
      </c>
      <c r="H772" s="34" t="b">
        <f t="shared" si="28"/>
        <v>1</v>
      </c>
    </row>
    <row r="773" spans="4:8" ht="29.25" customHeight="1" x14ac:dyDescent="0.3">
      <c r="D773" s="34">
        <v>45210</v>
      </c>
      <c r="E773">
        <f t="shared" si="27"/>
        <v>17974</v>
      </c>
      <c r="G773" s="34">
        <v>45210</v>
      </c>
      <c r="H773" s="34" t="b">
        <f t="shared" si="28"/>
        <v>1</v>
      </c>
    </row>
    <row r="774" spans="4:8" ht="29.25" customHeight="1" x14ac:dyDescent="0.3">
      <c r="D774" s="34">
        <v>45211</v>
      </c>
      <c r="E774">
        <f t="shared" si="27"/>
        <v>17974</v>
      </c>
      <c r="G774" s="34">
        <v>45211</v>
      </c>
      <c r="H774" s="34" t="b">
        <f t="shared" si="28"/>
        <v>1</v>
      </c>
    </row>
    <row r="775" spans="4:8" ht="29.25" customHeight="1" x14ac:dyDescent="0.3">
      <c r="D775" s="34">
        <v>45212</v>
      </c>
      <c r="E775">
        <f t="shared" si="27"/>
        <v>17974</v>
      </c>
      <c r="G775" s="34">
        <v>45212</v>
      </c>
      <c r="H775" s="34" t="b">
        <f t="shared" si="28"/>
        <v>1</v>
      </c>
    </row>
    <row r="776" spans="4:8" ht="29.25" customHeight="1" x14ac:dyDescent="0.3">
      <c r="D776" s="34">
        <v>45215</v>
      </c>
      <c r="E776">
        <f t="shared" si="27"/>
        <v>17974</v>
      </c>
      <c r="G776" s="34">
        <v>45215</v>
      </c>
      <c r="H776" s="34" t="b">
        <f t="shared" si="28"/>
        <v>1</v>
      </c>
    </row>
    <row r="777" spans="4:8" ht="29.25" customHeight="1" x14ac:dyDescent="0.3">
      <c r="D777" s="34">
        <v>45216</v>
      </c>
      <c r="E777">
        <f t="shared" si="27"/>
        <v>17974</v>
      </c>
      <c r="G777" s="34">
        <v>45216</v>
      </c>
      <c r="H777" s="34" t="b">
        <f t="shared" si="28"/>
        <v>1</v>
      </c>
    </row>
    <row r="778" spans="4:8" ht="29.25" customHeight="1" x14ac:dyDescent="0.3">
      <c r="D778" s="34">
        <v>45217</v>
      </c>
      <c r="E778">
        <f t="shared" si="27"/>
        <v>19394</v>
      </c>
      <c r="G778" s="34">
        <v>45217</v>
      </c>
      <c r="H778" s="34" t="b">
        <f t="shared" si="28"/>
        <v>1</v>
      </c>
    </row>
    <row r="779" spans="4:8" ht="29.25" customHeight="1" x14ac:dyDescent="0.3">
      <c r="D779" s="34">
        <v>45218</v>
      </c>
      <c r="E779">
        <f t="shared" si="27"/>
        <v>19394</v>
      </c>
      <c r="G779" s="34">
        <v>45218</v>
      </c>
      <c r="H779" s="34" t="b">
        <f t="shared" si="28"/>
        <v>1</v>
      </c>
    </row>
    <row r="780" spans="4:8" ht="29.25" customHeight="1" x14ac:dyDescent="0.3">
      <c r="D780" s="34">
        <v>45219</v>
      </c>
      <c r="E780">
        <f t="shared" si="27"/>
        <v>19394</v>
      </c>
      <c r="G780" s="34">
        <v>45219</v>
      </c>
      <c r="H780" s="34" t="b">
        <f t="shared" si="28"/>
        <v>1</v>
      </c>
    </row>
    <row r="781" spans="4:8" ht="29.25" customHeight="1" x14ac:dyDescent="0.3">
      <c r="D781" s="34">
        <v>45222</v>
      </c>
      <c r="E781">
        <f t="shared" si="27"/>
        <v>19394</v>
      </c>
      <c r="G781" s="34">
        <v>45222</v>
      </c>
      <c r="H781" s="34" t="b">
        <f t="shared" si="28"/>
        <v>1</v>
      </c>
    </row>
    <row r="782" spans="4:8" ht="29.25" customHeight="1" x14ac:dyDescent="0.3">
      <c r="D782" s="34">
        <v>45223</v>
      </c>
      <c r="E782">
        <f t="shared" si="27"/>
        <v>19394</v>
      </c>
      <c r="G782" s="34">
        <v>45223</v>
      </c>
      <c r="H782" s="34" t="b">
        <f t="shared" si="28"/>
        <v>1</v>
      </c>
    </row>
    <row r="783" spans="4:8" ht="29.25" customHeight="1" x14ac:dyDescent="0.3">
      <c r="D783" s="34">
        <v>45224</v>
      </c>
      <c r="E783">
        <f t="shared" si="27"/>
        <v>19535</v>
      </c>
      <c r="G783" s="34">
        <v>45224</v>
      </c>
      <c r="H783" s="34" t="b">
        <f t="shared" si="28"/>
        <v>1</v>
      </c>
    </row>
    <row r="784" spans="4:8" ht="29.25" customHeight="1" x14ac:dyDescent="0.3">
      <c r="D784" s="34">
        <v>45225</v>
      </c>
      <c r="E784">
        <f t="shared" si="27"/>
        <v>19535</v>
      </c>
      <c r="G784" s="34">
        <v>45225</v>
      </c>
      <c r="H784" s="34" t="b">
        <f t="shared" si="28"/>
        <v>1</v>
      </c>
    </row>
    <row r="785" spans="4:8" ht="29.25" customHeight="1" x14ac:dyDescent="0.3">
      <c r="D785" s="34">
        <v>45226</v>
      </c>
      <c r="E785">
        <f t="shared" si="27"/>
        <v>19535</v>
      </c>
      <c r="G785" s="34">
        <v>45226</v>
      </c>
      <c r="H785" s="34" t="b">
        <f t="shared" si="28"/>
        <v>1</v>
      </c>
    </row>
    <row r="786" spans="4:8" ht="29.25" customHeight="1" x14ac:dyDescent="0.3">
      <c r="D786" s="34">
        <v>45229</v>
      </c>
      <c r="E786">
        <f t="shared" si="27"/>
        <v>19535</v>
      </c>
      <c r="G786" s="34">
        <v>45229</v>
      </c>
      <c r="H786" s="34" t="b">
        <f t="shared" si="28"/>
        <v>1</v>
      </c>
    </row>
    <row r="787" spans="4:8" ht="29.25" customHeight="1" x14ac:dyDescent="0.3">
      <c r="D787" s="34">
        <v>45230</v>
      </c>
      <c r="E787">
        <f t="shared" si="27"/>
        <v>19535</v>
      </c>
      <c r="G787" s="34">
        <v>45230</v>
      </c>
      <c r="H787" s="34" t="b">
        <f t="shared" si="28"/>
        <v>1</v>
      </c>
    </row>
    <row r="788" spans="4:8" ht="29.25" customHeight="1" x14ac:dyDescent="0.3">
      <c r="D788" s="34">
        <v>45231</v>
      </c>
      <c r="E788">
        <f t="shared" si="27"/>
        <v>19436</v>
      </c>
      <c r="G788" s="34">
        <v>45231</v>
      </c>
      <c r="H788" s="34" t="b">
        <f t="shared" si="28"/>
        <v>1</v>
      </c>
    </row>
    <row r="789" spans="4:8" ht="29.25" customHeight="1" x14ac:dyDescent="0.3">
      <c r="D789" s="34">
        <v>45232</v>
      </c>
      <c r="E789">
        <f t="shared" si="27"/>
        <v>19436</v>
      </c>
      <c r="G789" s="34">
        <v>45232</v>
      </c>
      <c r="H789" s="34" t="b">
        <f t="shared" si="28"/>
        <v>1</v>
      </c>
    </row>
    <row r="790" spans="4:8" ht="29.25" customHeight="1" x14ac:dyDescent="0.3">
      <c r="D790" s="34">
        <v>45233</v>
      </c>
      <c r="E790">
        <f t="shared" si="27"/>
        <v>19436</v>
      </c>
      <c r="G790" s="34">
        <v>45233</v>
      </c>
      <c r="H790" s="34" t="b">
        <f t="shared" si="28"/>
        <v>1</v>
      </c>
    </row>
    <row r="791" spans="4:8" ht="29.25" customHeight="1" x14ac:dyDescent="0.3">
      <c r="D791" s="34">
        <v>45236</v>
      </c>
      <c r="E791">
        <f t="shared" si="27"/>
        <v>19436</v>
      </c>
      <c r="G791" s="34">
        <v>45236</v>
      </c>
      <c r="H791" s="34" t="b">
        <f t="shared" si="28"/>
        <v>1</v>
      </c>
    </row>
    <row r="792" spans="4:8" ht="29.25" customHeight="1" x14ac:dyDescent="0.3">
      <c r="D792" s="34">
        <v>45237</v>
      </c>
      <c r="E792">
        <f t="shared" si="27"/>
        <v>19436</v>
      </c>
      <c r="G792" s="34">
        <v>45237</v>
      </c>
      <c r="H792" s="34" t="b">
        <f t="shared" si="28"/>
        <v>1</v>
      </c>
    </row>
    <row r="793" spans="4:8" ht="29.25" customHeight="1" x14ac:dyDescent="0.3">
      <c r="D793" s="34">
        <v>45238</v>
      </c>
      <c r="E793">
        <f t="shared" si="27"/>
        <v>18552</v>
      </c>
      <c r="G793" s="34">
        <v>45238</v>
      </c>
      <c r="H793" s="34" t="b">
        <f t="shared" si="28"/>
        <v>1</v>
      </c>
    </row>
    <row r="794" spans="4:8" ht="29.25" customHeight="1" x14ac:dyDescent="0.3">
      <c r="D794" s="34">
        <v>45239</v>
      </c>
      <c r="E794">
        <f t="shared" si="27"/>
        <v>18552</v>
      </c>
      <c r="G794" s="34">
        <v>45239</v>
      </c>
      <c r="H794" s="34" t="b">
        <f t="shared" si="28"/>
        <v>1</v>
      </c>
    </row>
    <row r="795" spans="4:8" ht="29.25" customHeight="1" x14ac:dyDescent="0.3">
      <c r="D795" s="34">
        <v>45240</v>
      </c>
      <c r="E795">
        <f t="shared" si="27"/>
        <v>18552</v>
      </c>
      <c r="G795" s="34">
        <v>45240</v>
      </c>
      <c r="H795" s="34" t="b">
        <f t="shared" si="28"/>
        <v>1</v>
      </c>
    </row>
    <row r="796" spans="4:8" ht="29.25" customHeight="1" x14ac:dyDescent="0.3">
      <c r="D796" s="34">
        <v>45243</v>
      </c>
      <c r="E796">
        <f t="shared" si="27"/>
        <v>18552</v>
      </c>
      <c r="G796" s="34">
        <v>45243</v>
      </c>
      <c r="H796" s="34" t="b">
        <f t="shared" si="28"/>
        <v>1</v>
      </c>
    </row>
    <row r="797" spans="4:8" ht="29.25" customHeight="1" x14ac:dyDescent="0.3">
      <c r="D797" s="34">
        <v>45244</v>
      </c>
      <c r="E797">
        <f t="shared" si="27"/>
        <v>18552</v>
      </c>
      <c r="G797" s="34">
        <v>45244</v>
      </c>
      <c r="H797" s="34" t="b">
        <f t="shared" si="28"/>
        <v>1</v>
      </c>
    </row>
    <row r="798" spans="4:8" ht="29.25" customHeight="1" x14ac:dyDescent="0.3">
      <c r="D798" s="34">
        <v>45245</v>
      </c>
      <c r="E798">
        <f t="shared" si="27"/>
        <v>17511</v>
      </c>
      <c r="G798" s="34">
        <v>45245</v>
      </c>
      <c r="H798" s="34" t="b">
        <f t="shared" si="28"/>
        <v>1</v>
      </c>
    </row>
    <row r="799" spans="4:8" ht="29.25" customHeight="1" x14ac:dyDescent="0.3">
      <c r="D799" s="34">
        <v>45246</v>
      </c>
      <c r="E799">
        <f t="shared" si="27"/>
        <v>17511</v>
      </c>
      <c r="G799" s="34">
        <v>45246</v>
      </c>
      <c r="H799" s="34" t="b">
        <f t="shared" si="28"/>
        <v>1</v>
      </c>
    </row>
    <row r="800" spans="4:8" ht="29.25" customHeight="1" x14ac:dyDescent="0.3">
      <c r="D800" s="34">
        <v>45247</v>
      </c>
      <c r="E800">
        <f t="shared" si="27"/>
        <v>17511</v>
      </c>
      <c r="G800" s="34">
        <v>45247</v>
      </c>
      <c r="H800" s="34" t="b">
        <f t="shared" si="28"/>
        <v>1</v>
      </c>
    </row>
    <row r="801" spans="4:8" ht="29.25" customHeight="1" x14ac:dyDescent="0.3">
      <c r="D801" s="34">
        <v>45250</v>
      </c>
      <c r="E801">
        <f t="shared" si="27"/>
        <v>17511</v>
      </c>
      <c r="G801" s="34">
        <v>45250</v>
      </c>
      <c r="H801" s="34" t="b">
        <f t="shared" si="28"/>
        <v>1</v>
      </c>
    </row>
    <row r="802" spans="4:8" ht="29.25" customHeight="1" x14ac:dyDescent="0.3">
      <c r="D802" s="34">
        <v>45251</v>
      </c>
      <c r="E802">
        <f t="shared" si="27"/>
        <v>17511</v>
      </c>
      <c r="G802" s="34">
        <v>45251</v>
      </c>
      <c r="H802" s="34" t="b">
        <f t="shared" si="28"/>
        <v>1</v>
      </c>
    </row>
    <row r="803" spans="4:8" ht="29.25" customHeight="1" x14ac:dyDescent="0.3">
      <c r="D803" s="34">
        <v>45252</v>
      </c>
      <c r="E803">
        <f t="shared" si="27"/>
        <v>20122</v>
      </c>
      <c r="G803" s="34">
        <v>45252</v>
      </c>
      <c r="H803" s="34" t="b">
        <f t="shared" si="28"/>
        <v>1</v>
      </c>
    </row>
    <row r="804" spans="4:8" ht="29.25" customHeight="1" x14ac:dyDescent="0.3">
      <c r="D804" s="34">
        <v>45253</v>
      </c>
      <c r="E804">
        <f t="shared" si="27"/>
        <v>20122</v>
      </c>
      <c r="G804" s="34">
        <v>45253</v>
      </c>
      <c r="H804" s="34" t="b">
        <f t="shared" si="28"/>
        <v>1</v>
      </c>
    </row>
    <row r="805" spans="4:8" ht="29.25" customHeight="1" x14ac:dyDescent="0.3">
      <c r="D805" s="34">
        <v>45254</v>
      </c>
      <c r="E805">
        <f t="shared" si="27"/>
        <v>20122</v>
      </c>
      <c r="G805" s="34">
        <v>45254</v>
      </c>
      <c r="H805" s="34" t="b">
        <f t="shared" si="28"/>
        <v>1</v>
      </c>
    </row>
    <row r="806" spans="4:8" ht="29.25" customHeight="1" x14ac:dyDescent="0.3">
      <c r="D806" s="34">
        <v>45257</v>
      </c>
      <c r="E806">
        <f t="shared" si="27"/>
        <v>20122</v>
      </c>
      <c r="G806" s="34">
        <v>45257</v>
      </c>
      <c r="H806" s="34" t="b">
        <f t="shared" si="28"/>
        <v>1</v>
      </c>
    </row>
    <row r="807" spans="4:8" ht="29.25" customHeight="1" x14ac:dyDescent="0.3">
      <c r="D807" s="34">
        <v>45258</v>
      </c>
      <c r="E807">
        <f t="shared" si="27"/>
        <v>20122</v>
      </c>
      <c r="G807" s="34">
        <v>45258</v>
      </c>
      <c r="H807" s="34" t="b">
        <f t="shared" si="28"/>
        <v>1</v>
      </c>
    </row>
    <row r="808" spans="4:8" ht="29.25" customHeight="1" x14ac:dyDescent="0.3">
      <c r="D808" s="34">
        <v>45259</v>
      </c>
      <c r="E808">
        <f t="shared" si="27"/>
        <v>19503</v>
      </c>
      <c r="G808" s="34">
        <v>45259</v>
      </c>
      <c r="H808" s="34" t="b">
        <f t="shared" si="28"/>
        <v>1</v>
      </c>
    </row>
    <row r="809" spans="4:8" ht="29.25" customHeight="1" x14ac:dyDescent="0.3">
      <c r="D809" s="34">
        <v>45260</v>
      </c>
      <c r="E809">
        <f t="shared" si="27"/>
        <v>19503</v>
      </c>
      <c r="G809" s="34">
        <v>45260</v>
      </c>
      <c r="H809" s="34" t="b">
        <f t="shared" si="28"/>
        <v>1</v>
      </c>
    </row>
    <row r="810" spans="4:8" ht="29.25" customHeight="1" x14ac:dyDescent="0.3">
      <c r="D810" s="34">
        <v>45261</v>
      </c>
      <c r="E810">
        <f t="shared" si="27"/>
        <v>19503</v>
      </c>
      <c r="G810" s="34">
        <v>45261</v>
      </c>
      <c r="H810" s="34" t="b">
        <f t="shared" si="28"/>
        <v>1</v>
      </c>
    </row>
    <row r="811" spans="4:8" ht="29.25" customHeight="1" x14ac:dyDescent="0.3">
      <c r="D811" s="34">
        <v>45264</v>
      </c>
      <c r="E811">
        <f t="shared" si="27"/>
        <v>19503</v>
      </c>
      <c r="G811" s="34">
        <v>45264</v>
      </c>
      <c r="H811" s="34" t="b">
        <f t="shared" si="28"/>
        <v>1</v>
      </c>
    </row>
    <row r="812" spans="4:8" ht="29.25" customHeight="1" x14ac:dyDescent="0.3">
      <c r="D812" s="34">
        <v>45265</v>
      </c>
      <c r="E812">
        <f t="shared" si="27"/>
        <v>19503</v>
      </c>
      <c r="G812" s="34">
        <v>45265</v>
      </c>
      <c r="H812" s="34" t="b">
        <f t="shared" si="28"/>
        <v>1</v>
      </c>
    </row>
    <row r="813" spans="4:8" ht="29.25" customHeight="1" x14ac:dyDescent="0.3">
      <c r="D813" s="34">
        <v>45266</v>
      </c>
      <c r="E813">
        <f t="shared" si="27"/>
        <v>18848</v>
      </c>
      <c r="G813" s="34">
        <v>45266</v>
      </c>
      <c r="H813" s="34" t="b">
        <f t="shared" si="28"/>
        <v>1</v>
      </c>
    </row>
    <row r="814" spans="4:8" ht="29.25" customHeight="1" x14ac:dyDescent="0.3">
      <c r="D814" s="34">
        <v>45267</v>
      </c>
      <c r="E814">
        <f t="shared" si="27"/>
        <v>18848</v>
      </c>
      <c r="G814" s="34">
        <v>45267</v>
      </c>
      <c r="H814" s="34" t="b">
        <f t="shared" si="28"/>
        <v>1</v>
      </c>
    </row>
    <row r="815" spans="4:8" ht="29.25" customHeight="1" x14ac:dyDescent="0.3">
      <c r="D815" s="34">
        <v>45268</v>
      </c>
      <c r="E815">
        <f t="shared" si="27"/>
        <v>18848</v>
      </c>
      <c r="G815" s="34">
        <v>45268</v>
      </c>
      <c r="H815" s="34" t="b">
        <f t="shared" si="28"/>
        <v>1</v>
      </c>
    </row>
    <row r="816" spans="4:8" ht="29.25" customHeight="1" x14ac:dyDescent="0.3">
      <c r="D816" s="34">
        <v>45271</v>
      </c>
      <c r="E816">
        <f t="shared" si="27"/>
        <v>18848</v>
      </c>
      <c r="G816" s="34">
        <v>45271</v>
      </c>
      <c r="H816" s="34" t="b">
        <f t="shared" si="28"/>
        <v>1</v>
      </c>
    </row>
    <row r="817" spans="4:8" ht="29.25" customHeight="1" x14ac:dyDescent="0.3">
      <c r="D817" s="34">
        <v>45272</v>
      </c>
      <c r="E817">
        <f t="shared" si="27"/>
        <v>18848</v>
      </c>
      <c r="G817" s="34">
        <v>45272</v>
      </c>
      <c r="H817" s="34" t="b">
        <f t="shared" si="28"/>
        <v>1</v>
      </c>
    </row>
    <row r="818" spans="4:8" ht="29.25" customHeight="1" x14ac:dyDescent="0.3">
      <c r="D818" s="34">
        <v>45273</v>
      </c>
      <c r="E818">
        <f t="shared" si="27"/>
        <v>21567</v>
      </c>
      <c r="G818" s="34">
        <v>45273</v>
      </c>
      <c r="H818" s="34" t="b">
        <f t="shared" si="28"/>
        <v>1</v>
      </c>
    </row>
    <row r="819" spans="4:8" ht="29.25" customHeight="1" x14ac:dyDescent="0.3">
      <c r="D819" s="34">
        <v>45274</v>
      </c>
      <c r="E819">
        <f t="shared" si="27"/>
        <v>21567</v>
      </c>
      <c r="G819" s="34">
        <v>45274</v>
      </c>
      <c r="H819" s="34" t="b">
        <f t="shared" si="28"/>
        <v>1</v>
      </c>
    </row>
    <row r="820" spans="4:8" ht="29.25" customHeight="1" x14ac:dyDescent="0.3">
      <c r="D820" s="34">
        <v>45275</v>
      </c>
      <c r="E820">
        <f t="shared" si="27"/>
        <v>21567</v>
      </c>
      <c r="G820" s="34">
        <v>45275</v>
      </c>
      <c r="H820" s="34" t="b">
        <f t="shared" si="28"/>
        <v>1</v>
      </c>
    </row>
    <row r="821" spans="4:8" ht="29.25" customHeight="1" x14ac:dyDescent="0.3">
      <c r="D821" s="34">
        <v>45278</v>
      </c>
      <c r="E821">
        <f t="shared" si="27"/>
        <v>21567</v>
      </c>
      <c r="G821" s="34">
        <v>45278</v>
      </c>
      <c r="H821" s="34" t="b">
        <f t="shared" si="28"/>
        <v>1</v>
      </c>
    </row>
    <row r="822" spans="4:8" ht="29.25" customHeight="1" x14ac:dyDescent="0.3">
      <c r="D822" s="34">
        <v>45279</v>
      </c>
      <c r="E822">
        <f t="shared" si="27"/>
        <v>21567</v>
      </c>
      <c r="G822" s="34">
        <v>45279</v>
      </c>
      <c r="H822" s="34" t="b">
        <f t="shared" si="28"/>
        <v>1</v>
      </c>
    </row>
    <row r="823" spans="4:8" ht="29.25" customHeight="1" x14ac:dyDescent="0.3">
      <c r="D823" s="34">
        <v>45280</v>
      </c>
      <c r="E823">
        <f t="shared" si="27"/>
        <v>20552</v>
      </c>
      <c r="G823" s="34">
        <v>45280</v>
      </c>
      <c r="H823" s="34" t="b">
        <f t="shared" si="28"/>
        <v>1</v>
      </c>
    </row>
    <row r="824" spans="4:8" ht="29.25" customHeight="1" x14ac:dyDescent="0.3">
      <c r="D824" s="34">
        <v>45281</v>
      </c>
      <c r="E824">
        <f t="shared" si="27"/>
        <v>20552</v>
      </c>
      <c r="G824" s="34">
        <v>45281</v>
      </c>
      <c r="H824" s="34" t="b">
        <f t="shared" si="28"/>
        <v>1</v>
      </c>
    </row>
    <row r="825" spans="4:8" ht="29.25" customHeight="1" x14ac:dyDescent="0.3">
      <c r="D825" s="34">
        <v>45282</v>
      </c>
      <c r="E825">
        <f t="shared" si="27"/>
        <v>20552</v>
      </c>
      <c r="G825" s="34">
        <v>45282</v>
      </c>
      <c r="H825" s="34" t="b">
        <f t="shared" si="28"/>
        <v>1</v>
      </c>
    </row>
    <row r="826" spans="4:8" ht="29.25" customHeight="1" x14ac:dyDescent="0.3">
      <c r="D826" s="34">
        <v>45286</v>
      </c>
      <c r="E826">
        <f t="shared" si="27"/>
        <v>20552</v>
      </c>
      <c r="G826" s="34">
        <v>45286</v>
      </c>
      <c r="H826" s="34" t="b">
        <f t="shared" si="28"/>
        <v>1</v>
      </c>
    </row>
    <row r="827" spans="4:8" ht="29.25" customHeight="1" x14ac:dyDescent="0.3">
      <c r="D827" s="34">
        <v>45287</v>
      </c>
      <c r="E827">
        <f t="shared" si="27"/>
        <v>21094</v>
      </c>
      <c r="G827" s="34">
        <v>45287</v>
      </c>
      <c r="H827" s="34" t="b">
        <f t="shared" si="28"/>
        <v>1</v>
      </c>
    </row>
    <row r="828" spans="4:8" ht="29.25" customHeight="1" x14ac:dyDescent="0.3">
      <c r="D828" s="34">
        <v>45288</v>
      </c>
      <c r="E828">
        <f t="shared" si="27"/>
        <v>21094</v>
      </c>
      <c r="G828" s="34">
        <v>45288</v>
      </c>
      <c r="H828" s="34" t="b">
        <f t="shared" si="28"/>
        <v>1</v>
      </c>
    </row>
    <row r="829" spans="4:8" ht="29.25" customHeight="1" x14ac:dyDescent="0.3">
      <c r="D829" s="34">
        <v>45289</v>
      </c>
      <c r="E829">
        <f t="shared" si="27"/>
        <v>21094</v>
      </c>
      <c r="G829" s="34">
        <v>45289</v>
      </c>
      <c r="H829" s="34" t="b">
        <f t="shared" si="28"/>
        <v>1</v>
      </c>
    </row>
    <row r="830" spans="4:8" ht="29.25" customHeight="1" x14ac:dyDescent="0.3">
      <c r="D830" s="34">
        <v>45293</v>
      </c>
      <c r="E830">
        <f t="shared" si="27"/>
        <v>21094</v>
      </c>
      <c r="G830" s="34">
        <v>45293</v>
      </c>
      <c r="H830" s="34" t="b">
        <f t="shared" si="28"/>
        <v>1</v>
      </c>
    </row>
    <row r="831" spans="4:8" ht="29.25" customHeight="1" x14ac:dyDescent="0.3">
      <c r="D831" s="34">
        <v>45294</v>
      </c>
      <c r="E831">
        <f t="shared" si="27"/>
        <v>22313</v>
      </c>
      <c r="G831" s="34">
        <v>45294</v>
      </c>
      <c r="H831" s="34" t="b">
        <f t="shared" si="28"/>
        <v>1</v>
      </c>
    </row>
    <row r="832" spans="4:8" ht="29.25" customHeight="1" x14ac:dyDescent="0.3">
      <c r="D832" s="34">
        <v>45295</v>
      </c>
      <c r="E832">
        <f t="shared" si="27"/>
        <v>22313</v>
      </c>
      <c r="G832" s="34">
        <v>45295</v>
      </c>
      <c r="H832" s="34" t="b">
        <f t="shared" si="28"/>
        <v>1</v>
      </c>
    </row>
    <row r="833" spans="4:8" ht="29.25" customHeight="1" x14ac:dyDescent="0.3">
      <c r="D833" s="34">
        <v>45296</v>
      </c>
      <c r="E833">
        <f t="shared" si="27"/>
        <v>22313</v>
      </c>
      <c r="G833" s="34">
        <v>45296</v>
      </c>
      <c r="H833" s="34" t="b">
        <f t="shared" si="28"/>
        <v>1</v>
      </c>
    </row>
    <row r="834" spans="4:8" ht="29.25" customHeight="1" x14ac:dyDescent="0.3">
      <c r="D834" s="34">
        <v>45299</v>
      </c>
      <c r="E834">
        <f t="shared" si="27"/>
        <v>22313</v>
      </c>
      <c r="G834" s="34">
        <v>45299</v>
      </c>
      <c r="H834" s="34" t="b">
        <f t="shared" si="28"/>
        <v>1</v>
      </c>
    </row>
    <row r="835" spans="4:8" ht="29.25" customHeight="1" x14ac:dyDescent="0.3">
      <c r="D835" s="34">
        <v>45300</v>
      </c>
      <c r="E835">
        <f t="shared" ref="E835:E898" si="29">LOOKUP(D835,A:A,B:B)</f>
        <v>22313</v>
      </c>
      <c r="G835" s="34">
        <v>45300</v>
      </c>
      <c r="H835" s="34" t="b">
        <f t="shared" ref="H835:H898" si="30">G835=D835</f>
        <v>1</v>
      </c>
    </row>
    <row r="836" spans="4:8" ht="29.25" customHeight="1" x14ac:dyDescent="0.3">
      <c r="D836" s="34">
        <v>45301</v>
      </c>
      <c r="E836">
        <f t="shared" si="29"/>
        <v>23015</v>
      </c>
      <c r="G836" s="34">
        <v>45301</v>
      </c>
      <c r="H836" s="34" t="b">
        <f t="shared" si="30"/>
        <v>1</v>
      </c>
    </row>
    <row r="837" spans="4:8" ht="29.25" customHeight="1" x14ac:dyDescent="0.3">
      <c r="D837" s="34">
        <v>45302</v>
      </c>
      <c r="E837">
        <f t="shared" si="29"/>
        <v>23015</v>
      </c>
      <c r="G837" s="34">
        <v>45302</v>
      </c>
      <c r="H837" s="34" t="b">
        <f t="shared" si="30"/>
        <v>1</v>
      </c>
    </row>
    <row r="838" spans="4:8" ht="29.25" customHeight="1" x14ac:dyDescent="0.3">
      <c r="D838" s="34">
        <v>45303</v>
      </c>
      <c r="E838">
        <f t="shared" si="29"/>
        <v>23015</v>
      </c>
      <c r="G838" s="34">
        <v>45303</v>
      </c>
      <c r="H838" s="34" t="b">
        <f t="shared" si="30"/>
        <v>1</v>
      </c>
    </row>
    <row r="839" spans="4:8" ht="29.25" customHeight="1" x14ac:dyDescent="0.3">
      <c r="D839" s="34">
        <v>45306</v>
      </c>
      <c r="E839">
        <f t="shared" si="29"/>
        <v>23015</v>
      </c>
      <c r="G839" s="34">
        <v>45306</v>
      </c>
      <c r="H839" s="34" t="b">
        <f t="shared" si="30"/>
        <v>1</v>
      </c>
    </row>
    <row r="840" spans="4:8" ht="29.25" customHeight="1" x14ac:dyDescent="0.3">
      <c r="D840" s="34">
        <v>45307</v>
      </c>
      <c r="E840">
        <f t="shared" si="29"/>
        <v>23015</v>
      </c>
      <c r="G840" s="34">
        <v>45307</v>
      </c>
      <c r="H840" s="34" t="b">
        <f t="shared" si="30"/>
        <v>1</v>
      </c>
    </row>
    <row r="841" spans="4:8" ht="29.25" customHeight="1" x14ac:dyDescent="0.3">
      <c r="D841" s="34">
        <v>45308</v>
      </c>
      <c r="E841">
        <f t="shared" si="29"/>
        <v>22503</v>
      </c>
      <c r="G841" s="34">
        <v>45308</v>
      </c>
      <c r="H841" s="34" t="b">
        <f t="shared" si="30"/>
        <v>1</v>
      </c>
    </row>
    <row r="842" spans="4:8" ht="29.25" customHeight="1" x14ac:dyDescent="0.3">
      <c r="D842" s="34">
        <v>45309</v>
      </c>
      <c r="E842">
        <f t="shared" si="29"/>
        <v>22503</v>
      </c>
      <c r="G842" s="34">
        <v>45309</v>
      </c>
      <c r="H842" s="34" t="b">
        <f t="shared" si="30"/>
        <v>1</v>
      </c>
    </row>
    <row r="843" spans="4:8" ht="29.25" customHeight="1" x14ac:dyDescent="0.3">
      <c r="D843" s="34">
        <v>45310</v>
      </c>
      <c r="E843">
        <f t="shared" si="29"/>
        <v>22503</v>
      </c>
      <c r="G843" s="34">
        <v>45310</v>
      </c>
      <c r="H843" s="34" t="b">
        <f t="shared" si="30"/>
        <v>1</v>
      </c>
    </row>
    <row r="844" spans="4:8" ht="29.25" customHeight="1" x14ac:dyDescent="0.3">
      <c r="D844" s="34">
        <v>45313</v>
      </c>
      <c r="E844">
        <f t="shared" si="29"/>
        <v>22503</v>
      </c>
      <c r="G844" s="34">
        <v>45313</v>
      </c>
      <c r="H844" s="34" t="b">
        <f t="shared" si="30"/>
        <v>1</v>
      </c>
    </row>
    <row r="845" spans="4:8" ht="29.25" customHeight="1" x14ac:dyDescent="0.3">
      <c r="D845" s="34">
        <v>45314</v>
      </c>
      <c r="E845">
        <f t="shared" si="29"/>
        <v>22503</v>
      </c>
      <c r="G845" s="34">
        <v>45314</v>
      </c>
      <c r="H845" s="34" t="b">
        <f t="shared" si="30"/>
        <v>1</v>
      </c>
    </row>
    <row r="846" spans="4:8" ht="29.25" customHeight="1" x14ac:dyDescent="0.3">
      <c r="D846" s="34">
        <v>45315</v>
      </c>
      <c r="E846">
        <f t="shared" si="29"/>
        <v>21011</v>
      </c>
      <c r="G846" s="34">
        <v>45315</v>
      </c>
      <c r="H846" s="34" t="b">
        <f t="shared" si="30"/>
        <v>1</v>
      </c>
    </row>
    <row r="847" spans="4:8" ht="29.25" customHeight="1" x14ac:dyDescent="0.3">
      <c r="D847" s="34">
        <v>45316</v>
      </c>
      <c r="E847">
        <f t="shared" si="29"/>
        <v>21011</v>
      </c>
      <c r="G847" s="34">
        <v>45316</v>
      </c>
      <c r="H847" s="34" t="b">
        <f t="shared" si="30"/>
        <v>1</v>
      </c>
    </row>
    <row r="848" spans="4:8" ht="29.25" customHeight="1" x14ac:dyDescent="0.3">
      <c r="D848" s="34">
        <v>45317</v>
      </c>
      <c r="E848">
        <f t="shared" si="29"/>
        <v>21011</v>
      </c>
      <c r="G848" s="34">
        <v>45317</v>
      </c>
      <c r="H848" s="34" t="b">
        <f t="shared" si="30"/>
        <v>1</v>
      </c>
    </row>
    <row r="849" spans="4:8" ht="29.25" customHeight="1" x14ac:dyDescent="0.3">
      <c r="D849" s="34">
        <v>45320</v>
      </c>
      <c r="E849">
        <f t="shared" si="29"/>
        <v>21011</v>
      </c>
      <c r="G849" s="34">
        <v>45320</v>
      </c>
      <c r="H849" s="34" t="b">
        <f t="shared" si="30"/>
        <v>1</v>
      </c>
    </row>
    <row r="850" spans="4:8" ht="29.25" customHeight="1" x14ac:dyDescent="0.3">
      <c r="D850" s="34">
        <v>45321</v>
      </c>
      <c r="E850">
        <f t="shared" si="29"/>
        <v>21011</v>
      </c>
      <c r="G850" s="34">
        <v>45321</v>
      </c>
      <c r="H850" s="34" t="b">
        <f t="shared" si="30"/>
        <v>1</v>
      </c>
    </row>
    <row r="851" spans="4:8" ht="29.25" customHeight="1" x14ac:dyDescent="0.3">
      <c r="D851" s="34">
        <v>45322</v>
      </c>
      <c r="E851">
        <f t="shared" si="29"/>
        <v>23439</v>
      </c>
      <c r="G851" s="34">
        <v>45322</v>
      </c>
      <c r="H851" s="34" t="b">
        <f t="shared" si="30"/>
        <v>1</v>
      </c>
    </row>
    <row r="852" spans="4:8" ht="29.25" customHeight="1" x14ac:dyDescent="0.3">
      <c r="D852" s="34">
        <v>45323</v>
      </c>
      <c r="E852">
        <f t="shared" si="29"/>
        <v>23439</v>
      </c>
      <c r="G852" s="34">
        <v>45323</v>
      </c>
      <c r="H852" s="34" t="b">
        <f t="shared" si="30"/>
        <v>1</v>
      </c>
    </row>
    <row r="853" spans="4:8" ht="29.25" customHeight="1" x14ac:dyDescent="0.3">
      <c r="D853" s="34">
        <v>45324</v>
      </c>
      <c r="E853">
        <f t="shared" si="29"/>
        <v>23439</v>
      </c>
      <c r="G853" s="34">
        <v>45324</v>
      </c>
      <c r="H853" s="34" t="b">
        <f t="shared" si="30"/>
        <v>1</v>
      </c>
    </row>
    <row r="854" spans="4:8" ht="29.25" customHeight="1" x14ac:dyDescent="0.3">
      <c r="D854" s="34">
        <v>45327</v>
      </c>
      <c r="E854">
        <f t="shared" si="29"/>
        <v>23439</v>
      </c>
      <c r="G854" s="34">
        <v>45327</v>
      </c>
      <c r="H854" s="34" t="b">
        <f t="shared" si="30"/>
        <v>1</v>
      </c>
    </row>
    <row r="855" spans="4:8" ht="29.25" customHeight="1" x14ac:dyDescent="0.3">
      <c r="D855" s="34">
        <v>45328</v>
      </c>
      <c r="E855">
        <f t="shared" si="29"/>
        <v>23439</v>
      </c>
      <c r="G855" s="34">
        <v>45328</v>
      </c>
      <c r="H855" s="34" t="b">
        <f t="shared" si="30"/>
        <v>1</v>
      </c>
    </row>
    <row r="856" spans="4:8" ht="29.25" customHeight="1" x14ac:dyDescent="0.3">
      <c r="D856" s="34">
        <v>45329</v>
      </c>
      <c r="E856">
        <f t="shared" si="29"/>
        <v>21803</v>
      </c>
      <c r="G856" s="34">
        <v>45329</v>
      </c>
      <c r="H856" s="34" t="b">
        <f t="shared" si="30"/>
        <v>1</v>
      </c>
    </row>
    <row r="857" spans="4:8" ht="29.25" customHeight="1" x14ac:dyDescent="0.3">
      <c r="D857" s="34">
        <v>45330</v>
      </c>
      <c r="E857">
        <f t="shared" si="29"/>
        <v>21803</v>
      </c>
      <c r="G857" s="34">
        <v>45330</v>
      </c>
      <c r="H857" s="34" t="b">
        <f t="shared" si="30"/>
        <v>1</v>
      </c>
    </row>
    <row r="858" spans="4:8" ht="29.25" customHeight="1" x14ac:dyDescent="0.3">
      <c r="D858" s="34">
        <v>45331</v>
      </c>
      <c r="E858">
        <f t="shared" si="29"/>
        <v>21803</v>
      </c>
      <c r="G858" s="34">
        <v>45331</v>
      </c>
      <c r="H858" s="34" t="b">
        <f t="shared" si="30"/>
        <v>1</v>
      </c>
    </row>
    <row r="859" spans="4:8" ht="29.25" customHeight="1" x14ac:dyDescent="0.3">
      <c r="D859" s="34">
        <v>45334</v>
      </c>
      <c r="E859">
        <f t="shared" si="29"/>
        <v>21803</v>
      </c>
      <c r="G859" s="34">
        <v>45334</v>
      </c>
      <c r="H859" s="34" t="b">
        <f t="shared" si="30"/>
        <v>1</v>
      </c>
    </row>
    <row r="860" spans="4:8" ht="29.25" customHeight="1" x14ac:dyDescent="0.3">
      <c r="D860" s="34">
        <v>45335</v>
      </c>
      <c r="E860">
        <f t="shared" si="29"/>
        <v>21803</v>
      </c>
      <c r="G860" s="34">
        <v>45335</v>
      </c>
      <c r="H860" s="34" t="b">
        <f t="shared" si="30"/>
        <v>1</v>
      </c>
    </row>
    <row r="861" spans="4:8" ht="29.25" customHeight="1" x14ac:dyDescent="0.3">
      <c r="D861" s="34">
        <v>45336</v>
      </c>
      <c r="E861">
        <f t="shared" si="29"/>
        <v>20103</v>
      </c>
      <c r="G861" s="34">
        <v>45336</v>
      </c>
      <c r="H861" s="34" t="b">
        <f t="shared" si="30"/>
        <v>1</v>
      </c>
    </row>
    <row r="862" spans="4:8" ht="29.25" customHeight="1" x14ac:dyDescent="0.3">
      <c r="D862" s="34">
        <v>45337</v>
      </c>
      <c r="E862">
        <f t="shared" si="29"/>
        <v>20103</v>
      </c>
      <c r="G862" s="34">
        <v>45337</v>
      </c>
      <c r="H862" s="34" t="b">
        <f t="shared" si="30"/>
        <v>1</v>
      </c>
    </row>
    <row r="863" spans="4:8" ht="29.25" customHeight="1" x14ac:dyDescent="0.3">
      <c r="D863" s="34">
        <v>45338</v>
      </c>
      <c r="E863">
        <f t="shared" si="29"/>
        <v>20103</v>
      </c>
      <c r="G863" s="34">
        <v>45338</v>
      </c>
      <c r="H863" s="34" t="b">
        <f t="shared" si="30"/>
        <v>1</v>
      </c>
    </row>
    <row r="864" spans="4:8" ht="29.25" customHeight="1" x14ac:dyDescent="0.3">
      <c r="D864" s="34">
        <v>45341</v>
      </c>
      <c r="E864">
        <f t="shared" si="29"/>
        <v>20103</v>
      </c>
      <c r="G864" s="34">
        <v>45341</v>
      </c>
      <c r="H864" s="34" t="b">
        <f t="shared" si="30"/>
        <v>1</v>
      </c>
    </row>
    <row r="865" spans="4:8" ht="29.25" customHeight="1" x14ac:dyDescent="0.3">
      <c r="D865" s="34">
        <v>45342</v>
      </c>
      <c r="E865">
        <f t="shared" si="29"/>
        <v>20103</v>
      </c>
      <c r="G865" s="34">
        <v>45342</v>
      </c>
      <c r="H865" s="34" t="b">
        <f t="shared" si="30"/>
        <v>1</v>
      </c>
    </row>
    <row r="866" spans="4:8" ht="29.25" customHeight="1" x14ac:dyDescent="0.3">
      <c r="D866" s="34">
        <v>45343</v>
      </c>
      <c r="E866">
        <f t="shared" si="29"/>
        <v>23359</v>
      </c>
      <c r="G866" s="34">
        <v>45343</v>
      </c>
      <c r="H866" s="34" t="b">
        <f t="shared" si="30"/>
        <v>1</v>
      </c>
    </row>
    <row r="867" spans="4:8" ht="29.25" customHeight="1" x14ac:dyDescent="0.3">
      <c r="D867" s="34">
        <v>45344</v>
      </c>
      <c r="E867">
        <f t="shared" si="29"/>
        <v>23359</v>
      </c>
      <c r="G867" s="34">
        <v>45344</v>
      </c>
      <c r="H867" s="34" t="b">
        <f t="shared" si="30"/>
        <v>1</v>
      </c>
    </row>
    <row r="868" spans="4:8" ht="29.25" customHeight="1" x14ac:dyDescent="0.3">
      <c r="D868" s="34">
        <v>45345</v>
      </c>
      <c r="E868">
        <f t="shared" si="29"/>
        <v>23359</v>
      </c>
      <c r="G868" s="34">
        <v>45345</v>
      </c>
      <c r="H868" s="34" t="b">
        <f t="shared" si="30"/>
        <v>1</v>
      </c>
    </row>
    <row r="869" spans="4:8" ht="29.25" customHeight="1" x14ac:dyDescent="0.3">
      <c r="D869" s="34">
        <v>45348</v>
      </c>
      <c r="E869">
        <f t="shared" si="29"/>
        <v>23359</v>
      </c>
      <c r="G869" s="34">
        <v>45348</v>
      </c>
      <c r="H869" s="34" t="b">
        <f t="shared" si="30"/>
        <v>1</v>
      </c>
    </row>
    <row r="870" spans="4:8" ht="29.25" customHeight="1" x14ac:dyDescent="0.3">
      <c r="D870" s="34">
        <v>45349</v>
      </c>
      <c r="E870">
        <f t="shared" si="29"/>
        <v>23359</v>
      </c>
      <c r="G870" s="34">
        <v>45349</v>
      </c>
      <c r="H870" s="34" t="b">
        <f t="shared" si="30"/>
        <v>1</v>
      </c>
    </row>
    <row r="871" spans="4:8" ht="29.25" customHeight="1" x14ac:dyDescent="0.3">
      <c r="D871" s="34">
        <v>45350</v>
      </c>
      <c r="E871">
        <f t="shared" si="29"/>
        <v>20487</v>
      </c>
      <c r="G871" s="34">
        <v>45350</v>
      </c>
      <c r="H871" s="34" t="b">
        <f t="shared" si="30"/>
        <v>1</v>
      </c>
    </row>
    <row r="872" spans="4:8" ht="29.25" customHeight="1" x14ac:dyDescent="0.3">
      <c r="D872" s="34">
        <v>45351</v>
      </c>
      <c r="E872">
        <f t="shared" si="29"/>
        <v>20487</v>
      </c>
      <c r="G872" s="34">
        <v>45351</v>
      </c>
      <c r="H872" s="34" t="b">
        <f t="shared" si="30"/>
        <v>1</v>
      </c>
    </row>
    <row r="873" spans="4:8" ht="29.25" customHeight="1" x14ac:dyDescent="0.3">
      <c r="D873" s="34">
        <v>45352</v>
      </c>
      <c r="E873">
        <f t="shared" si="29"/>
        <v>20487</v>
      </c>
      <c r="G873" s="34">
        <v>45352</v>
      </c>
      <c r="H873" s="34" t="b">
        <f t="shared" si="30"/>
        <v>1</v>
      </c>
    </row>
    <row r="874" spans="4:8" ht="29.25" customHeight="1" x14ac:dyDescent="0.3">
      <c r="D874" s="34">
        <v>45355</v>
      </c>
      <c r="E874">
        <f t="shared" si="29"/>
        <v>20487</v>
      </c>
      <c r="G874" s="34">
        <v>45355</v>
      </c>
      <c r="H874" s="34" t="b">
        <f t="shared" si="30"/>
        <v>1</v>
      </c>
    </row>
    <row r="875" spans="4:8" ht="29.25" customHeight="1" x14ac:dyDescent="0.3">
      <c r="D875" s="34">
        <v>45356</v>
      </c>
      <c r="E875">
        <f t="shared" si="29"/>
        <v>20487</v>
      </c>
      <c r="G875" s="34">
        <v>45356</v>
      </c>
      <c r="H875" s="34" t="b">
        <f t="shared" si="30"/>
        <v>1</v>
      </c>
    </row>
    <row r="876" spans="4:8" ht="29.25" customHeight="1" x14ac:dyDescent="0.3">
      <c r="D876" s="34">
        <v>45357</v>
      </c>
      <c r="E876">
        <f t="shared" si="29"/>
        <v>19139</v>
      </c>
      <c r="G876" s="34">
        <v>45357</v>
      </c>
      <c r="H876" s="34" t="b">
        <f t="shared" si="30"/>
        <v>1</v>
      </c>
    </row>
    <row r="877" spans="4:8" ht="29.25" customHeight="1" x14ac:dyDescent="0.3">
      <c r="D877" s="34">
        <v>45358</v>
      </c>
      <c r="E877">
        <f t="shared" si="29"/>
        <v>19139</v>
      </c>
      <c r="G877" s="34">
        <v>45358</v>
      </c>
      <c r="H877" s="34" t="b">
        <f t="shared" si="30"/>
        <v>1</v>
      </c>
    </row>
    <row r="878" spans="4:8" ht="29.25" customHeight="1" x14ac:dyDescent="0.3">
      <c r="D878" s="34">
        <v>45359</v>
      </c>
      <c r="E878">
        <f t="shared" si="29"/>
        <v>19139</v>
      </c>
      <c r="G878" s="34">
        <v>45359</v>
      </c>
      <c r="H878" s="34" t="b">
        <f t="shared" si="30"/>
        <v>1</v>
      </c>
    </row>
    <row r="879" spans="4:8" ht="29.25" customHeight="1" x14ac:dyDescent="0.3">
      <c r="D879" s="34">
        <v>45362</v>
      </c>
      <c r="E879">
        <f t="shared" si="29"/>
        <v>19139</v>
      </c>
      <c r="G879" s="34">
        <v>45362</v>
      </c>
      <c r="H879" s="34" t="b">
        <f t="shared" si="30"/>
        <v>1</v>
      </c>
    </row>
    <row r="880" spans="4:8" ht="29.25" customHeight="1" x14ac:dyDescent="0.3">
      <c r="D880" s="34">
        <v>45363</v>
      </c>
      <c r="E880">
        <f t="shared" si="29"/>
        <v>19139</v>
      </c>
      <c r="G880" s="34">
        <v>45363</v>
      </c>
      <c r="H880" s="34" t="b">
        <f t="shared" si="30"/>
        <v>1</v>
      </c>
    </row>
    <row r="881" spans="4:8" ht="29.25" customHeight="1" x14ac:dyDescent="0.3">
      <c r="D881" s="34">
        <v>45364</v>
      </c>
      <c r="E881">
        <f t="shared" si="29"/>
        <v>21327</v>
      </c>
      <c r="G881" s="34">
        <v>45364</v>
      </c>
      <c r="H881" s="34" t="b">
        <f t="shared" si="30"/>
        <v>1</v>
      </c>
    </row>
    <row r="882" spans="4:8" ht="29.25" customHeight="1" x14ac:dyDescent="0.3">
      <c r="D882" s="34">
        <v>45365</v>
      </c>
      <c r="E882">
        <f t="shared" si="29"/>
        <v>21327</v>
      </c>
      <c r="G882" s="34">
        <v>45365</v>
      </c>
      <c r="H882" s="34" t="b">
        <f t="shared" si="30"/>
        <v>1</v>
      </c>
    </row>
    <row r="883" spans="4:8" ht="29.25" customHeight="1" x14ac:dyDescent="0.3">
      <c r="D883" s="34">
        <v>45366</v>
      </c>
      <c r="E883">
        <f t="shared" si="29"/>
        <v>21327</v>
      </c>
      <c r="G883" s="34">
        <v>45366</v>
      </c>
      <c r="H883" s="34" t="b">
        <f t="shared" si="30"/>
        <v>1</v>
      </c>
    </row>
    <row r="884" spans="4:8" ht="29.25" customHeight="1" x14ac:dyDescent="0.3">
      <c r="D884" s="34">
        <v>45369</v>
      </c>
      <c r="E884">
        <f t="shared" si="29"/>
        <v>21327</v>
      </c>
      <c r="G884" s="34">
        <v>45369</v>
      </c>
      <c r="H884" s="34" t="b">
        <f t="shared" si="30"/>
        <v>1</v>
      </c>
    </row>
    <row r="885" spans="4:8" ht="29.25" customHeight="1" x14ac:dyDescent="0.3">
      <c r="D885" s="34">
        <v>45370</v>
      </c>
      <c r="E885">
        <f t="shared" si="29"/>
        <v>21327</v>
      </c>
      <c r="G885" s="34">
        <v>45370</v>
      </c>
      <c r="H885" s="34" t="b">
        <f t="shared" si="30"/>
        <v>1</v>
      </c>
    </row>
    <row r="886" spans="4:8" ht="29.25" customHeight="1" x14ac:dyDescent="0.3">
      <c r="D886" s="34">
        <v>45371</v>
      </c>
      <c r="E886">
        <f t="shared" si="29"/>
        <v>22009</v>
      </c>
      <c r="G886" s="34">
        <v>45371</v>
      </c>
      <c r="H886" s="34" t="b">
        <f t="shared" si="30"/>
        <v>1</v>
      </c>
    </row>
    <row r="887" spans="4:8" ht="29.25" customHeight="1" x14ac:dyDescent="0.3">
      <c r="D887" s="34">
        <v>45372</v>
      </c>
      <c r="E887">
        <f t="shared" si="29"/>
        <v>22009</v>
      </c>
      <c r="G887" s="34">
        <v>45372</v>
      </c>
      <c r="H887" s="34" t="b">
        <f t="shared" si="30"/>
        <v>1</v>
      </c>
    </row>
    <row r="888" spans="4:8" ht="29.25" customHeight="1" x14ac:dyDescent="0.3">
      <c r="D888" s="34">
        <v>45373</v>
      </c>
      <c r="E888">
        <f t="shared" si="29"/>
        <v>22009</v>
      </c>
      <c r="G888" s="34">
        <v>45373</v>
      </c>
      <c r="H888" s="34" t="b">
        <f t="shared" si="30"/>
        <v>1</v>
      </c>
    </row>
    <row r="889" spans="4:8" ht="29.25" customHeight="1" x14ac:dyDescent="0.3">
      <c r="D889" s="34">
        <v>45376</v>
      </c>
      <c r="E889">
        <f t="shared" si="29"/>
        <v>22009</v>
      </c>
      <c r="G889" s="34">
        <v>45376</v>
      </c>
      <c r="H889" s="34" t="b">
        <f t="shared" si="30"/>
        <v>1</v>
      </c>
    </row>
    <row r="890" spans="4:8" ht="29.25" customHeight="1" x14ac:dyDescent="0.3">
      <c r="D890" s="34">
        <v>45377</v>
      </c>
      <c r="E890">
        <f t="shared" si="29"/>
        <v>22009</v>
      </c>
      <c r="G890" s="34">
        <v>45377</v>
      </c>
      <c r="H890" s="34" t="b">
        <f t="shared" si="30"/>
        <v>1</v>
      </c>
    </row>
    <row r="891" spans="4:8" ht="29.25" customHeight="1" x14ac:dyDescent="0.3">
      <c r="D891" s="34">
        <v>45378</v>
      </c>
      <c r="E891">
        <f t="shared" si="29"/>
        <v>21403</v>
      </c>
      <c r="G891" s="34">
        <v>45378</v>
      </c>
      <c r="H891" s="34" t="b">
        <f t="shared" si="30"/>
        <v>1</v>
      </c>
    </row>
    <row r="892" spans="4:8" ht="29.25" customHeight="1" x14ac:dyDescent="0.3">
      <c r="D892" s="34">
        <v>45379</v>
      </c>
      <c r="E892">
        <f t="shared" si="29"/>
        <v>21403</v>
      </c>
      <c r="G892" s="34">
        <v>45379</v>
      </c>
      <c r="H892" s="34" t="b">
        <f t="shared" si="30"/>
        <v>1</v>
      </c>
    </row>
    <row r="893" spans="4:8" ht="29.25" customHeight="1" x14ac:dyDescent="0.3">
      <c r="D893" s="34">
        <v>45383</v>
      </c>
      <c r="E893">
        <f t="shared" si="29"/>
        <v>21403</v>
      </c>
      <c r="G893" s="34">
        <v>45383</v>
      </c>
      <c r="H893" s="34" t="b">
        <f t="shared" si="30"/>
        <v>1</v>
      </c>
    </row>
    <row r="894" spans="4:8" ht="29.25" customHeight="1" x14ac:dyDescent="0.3">
      <c r="D894" s="34">
        <v>45384</v>
      </c>
      <c r="E894">
        <f t="shared" si="29"/>
        <v>21403</v>
      </c>
      <c r="G894" s="34">
        <v>45384</v>
      </c>
      <c r="H894" s="34" t="b">
        <f t="shared" si="30"/>
        <v>1</v>
      </c>
    </row>
    <row r="895" spans="4:8" ht="29.25" customHeight="1" x14ac:dyDescent="0.3">
      <c r="D895" s="34">
        <v>45385</v>
      </c>
      <c r="E895">
        <f t="shared" si="29"/>
        <v>21085</v>
      </c>
      <c r="G895" s="34">
        <v>45385</v>
      </c>
      <c r="H895" s="34" t="b">
        <f t="shared" si="30"/>
        <v>1</v>
      </c>
    </row>
    <row r="896" spans="4:8" ht="29.25" customHeight="1" x14ac:dyDescent="0.3">
      <c r="D896" s="34">
        <v>45386</v>
      </c>
      <c r="E896">
        <f t="shared" si="29"/>
        <v>21085</v>
      </c>
      <c r="G896" s="34">
        <v>45386</v>
      </c>
      <c r="H896" s="34" t="b">
        <f t="shared" si="30"/>
        <v>1</v>
      </c>
    </row>
    <row r="897" spans="4:8" ht="29.25" customHeight="1" x14ac:dyDescent="0.3">
      <c r="D897" s="34">
        <v>45387</v>
      </c>
      <c r="E897">
        <f t="shared" si="29"/>
        <v>21085</v>
      </c>
      <c r="G897" s="34">
        <v>45387</v>
      </c>
      <c r="H897" s="34" t="b">
        <f t="shared" si="30"/>
        <v>1</v>
      </c>
    </row>
    <row r="898" spans="4:8" ht="29.25" customHeight="1" x14ac:dyDescent="0.3">
      <c r="D898" s="34">
        <v>45390</v>
      </c>
      <c r="E898">
        <f t="shared" si="29"/>
        <v>21085</v>
      </c>
      <c r="G898" s="34">
        <v>45390</v>
      </c>
      <c r="H898" s="34" t="b">
        <f t="shared" si="30"/>
        <v>1</v>
      </c>
    </row>
    <row r="899" spans="4:8" ht="29.25" customHeight="1" x14ac:dyDescent="0.3">
      <c r="D899" s="34">
        <v>45391</v>
      </c>
      <c r="E899">
        <f t="shared" ref="E899:E962" si="31">LOOKUP(D899,A:A,B:B)</f>
        <v>21085</v>
      </c>
      <c r="G899" s="34">
        <v>45391</v>
      </c>
      <c r="H899" s="34" t="b">
        <f t="shared" ref="H899:H962" si="32">G899=D899</f>
        <v>1</v>
      </c>
    </row>
    <row r="900" spans="4:8" ht="29.25" customHeight="1" x14ac:dyDescent="0.3">
      <c r="D900" s="34">
        <v>45392</v>
      </c>
      <c r="E900">
        <f t="shared" si="31"/>
        <v>21004</v>
      </c>
      <c r="G900" s="34">
        <v>45392</v>
      </c>
      <c r="H900" s="34" t="b">
        <f t="shared" si="32"/>
        <v>1</v>
      </c>
    </row>
    <row r="901" spans="4:8" ht="29.25" customHeight="1" x14ac:dyDescent="0.3">
      <c r="D901" s="34">
        <v>45393</v>
      </c>
      <c r="E901">
        <f t="shared" si="31"/>
        <v>21004</v>
      </c>
      <c r="G901" s="34">
        <v>45393</v>
      </c>
      <c r="H901" s="34" t="b">
        <f t="shared" si="32"/>
        <v>1</v>
      </c>
    </row>
    <row r="902" spans="4:8" ht="29.25" customHeight="1" x14ac:dyDescent="0.3">
      <c r="D902" s="34">
        <v>45394</v>
      </c>
      <c r="E902">
        <f t="shared" si="31"/>
        <v>21004</v>
      </c>
      <c r="G902" s="34">
        <v>45394</v>
      </c>
      <c r="H902" s="34" t="b">
        <f t="shared" si="32"/>
        <v>1</v>
      </c>
    </row>
    <row r="903" spans="4:8" ht="29.25" customHeight="1" x14ac:dyDescent="0.3">
      <c r="D903" s="34">
        <v>45397</v>
      </c>
      <c r="E903">
        <f t="shared" si="31"/>
        <v>21004</v>
      </c>
      <c r="G903" s="34">
        <v>45397</v>
      </c>
      <c r="H903" s="34" t="b">
        <f t="shared" si="32"/>
        <v>1</v>
      </c>
    </row>
    <row r="904" spans="4:8" ht="29.25" customHeight="1" x14ac:dyDescent="0.3">
      <c r="D904" s="34">
        <v>45398</v>
      </c>
      <c r="E904">
        <f t="shared" si="31"/>
        <v>21004</v>
      </c>
      <c r="G904" s="34">
        <v>45398</v>
      </c>
      <c r="H904" s="34" t="b">
        <f t="shared" si="32"/>
        <v>1</v>
      </c>
    </row>
    <row r="905" spans="4:8" ht="29.25" customHeight="1" x14ac:dyDescent="0.3">
      <c r="D905" s="34">
        <v>45399</v>
      </c>
      <c r="E905">
        <f t="shared" si="31"/>
        <v>22186</v>
      </c>
      <c r="G905" s="34">
        <v>45399</v>
      </c>
      <c r="H905" s="34" t="b">
        <f t="shared" si="32"/>
        <v>1</v>
      </c>
    </row>
    <row r="906" spans="4:8" ht="29.25" customHeight="1" x14ac:dyDescent="0.3">
      <c r="D906" s="34">
        <v>45400</v>
      </c>
      <c r="E906">
        <f t="shared" si="31"/>
        <v>22186</v>
      </c>
      <c r="G906" s="34">
        <v>45400</v>
      </c>
      <c r="H906" s="34" t="b">
        <f t="shared" si="32"/>
        <v>1</v>
      </c>
    </row>
    <row r="907" spans="4:8" ht="29.25" customHeight="1" x14ac:dyDescent="0.3">
      <c r="D907" s="34">
        <v>45401</v>
      </c>
      <c r="E907">
        <f t="shared" si="31"/>
        <v>22186</v>
      </c>
      <c r="G907" s="34">
        <v>45401</v>
      </c>
      <c r="H907" s="34" t="b">
        <f t="shared" si="32"/>
        <v>1</v>
      </c>
    </row>
    <row r="908" spans="4:8" ht="29.25" customHeight="1" x14ac:dyDescent="0.3">
      <c r="D908" s="34">
        <v>45404</v>
      </c>
      <c r="E908">
        <f t="shared" si="31"/>
        <v>22186</v>
      </c>
      <c r="G908" s="34">
        <v>45404</v>
      </c>
      <c r="H908" s="34" t="b">
        <f t="shared" si="32"/>
        <v>1</v>
      </c>
    </row>
    <row r="909" spans="4:8" ht="29.25" customHeight="1" x14ac:dyDescent="0.3">
      <c r="D909" s="34">
        <v>45405</v>
      </c>
      <c r="E909">
        <f t="shared" si="31"/>
        <v>22186</v>
      </c>
      <c r="G909" s="34">
        <v>45405</v>
      </c>
      <c r="H909" s="34" t="b">
        <f t="shared" si="32"/>
        <v>1</v>
      </c>
    </row>
    <row r="910" spans="4:8" ht="29.25" customHeight="1" x14ac:dyDescent="0.3">
      <c r="D910" s="34">
        <v>45406</v>
      </c>
      <c r="E910">
        <f t="shared" si="31"/>
        <v>18942</v>
      </c>
      <c r="G910" s="34">
        <v>45406</v>
      </c>
      <c r="H910" s="34" t="b">
        <f t="shared" si="32"/>
        <v>1</v>
      </c>
    </row>
    <row r="911" spans="4:8" ht="29.25" customHeight="1" x14ac:dyDescent="0.3">
      <c r="D911" s="34">
        <v>45407</v>
      </c>
      <c r="E911">
        <f t="shared" si="31"/>
        <v>18942</v>
      </c>
      <c r="G911" s="34">
        <v>45407</v>
      </c>
      <c r="H911" s="34" t="b">
        <f t="shared" si="32"/>
        <v>1</v>
      </c>
    </row>
    <row r="912" spans="4:8" ht="29.25" customHeight="1" x14ac:dyDescent="0.3">
      <c r="D912" s="34">
        <v>45408</v>
      </c>
      <c r="E912">
        <f t="shared" si="31"/>
        <v>18942</v>
      </c>
      <c r="G912" s="34">
        <v>45408</v>
      </c>
      <c r="H912" s="34" t="b">
        <f t="shared" si="32"/>
        <v>1</v>
      </c>
    </row>
    <row r="913" spans="4:8" ht="29.25" customHeight="1" x14ac:dyDescent="0.3">
      <c r="D913" s="34">
        <v>45411</v>
      </c>
      <c r="E913">
        <f t="shared" si="31"/>
        <v>18942</v>
      </c>
      <c r="G913" s="34">
        <v>45411</v>
      </c>
      <c r="H913" s="34" t="b">
        <f t="shared" si="32"/>
        <v>1</v>
      </c>
    </row>
    <row r="914" spans="4:8" ht="29.25" customHeight="1" x14ac:dyDescent="0.3">
      <c r="D914" s="34">
        <v>45412</v>
      </c>
      <c r="E914">
        <f t="shared" si="31"/>
        <v>18942</v>
      </c>
      <c r="G914" s="34">
        <v>45412</v>
      </c>
      <c r="H914" s="34" t="b">
        <f t="shared" si="32"/>
        <v>1</v>
      </c>
    </row>
    <row r="915" spans="4:8" ht="29.25" customHeight="1" x14ac:dyDescent="0.3">
      <c r="D915" s="34">
        <v>45413</v>
      </c>
      <c r="E915">
        <f t="shared" si="31"/>
        <v>17827</v>
      </c>
      <c r="G915" s="34">
        <v>45413</v>
      </c>
      <c r="H915" s="34" t="b">
        <f t="shared" si="32"/>
        <v>1</v>
      </c>
    </row>
    <row r="916" spans="4:8" ht="29.25" customHeight="1" x14ac:dyDescent="0.3">
      <c r="D916" s="34">
        <v>45414</v>
      </c>
      <c r="E916">
        <f t="shared" si="31"/>
        <v>17827</v>
      </c>
      <c r="G916" s="34">
        <v>45414</v>
      </c>
      <c r="H916" s="34" t="b">
        <f t="shared" si="32"/>
        <v>1</v>
      </c>
    </row>
    <row r="917" spans="4:8" ht="29.25" customHeight="1" x14ac:dyDescent="0.3">
      <c r="D917" s="34">
        <v>45415</v>
      </c>
      <c r="E917">
        <f t="shared" si="31"/>
        <v>17827</v>
      </c>
      <c r="G917" s="34">
        <v>45415</v>
      </c>
      <c r="H917" s="34" t="b">
        <f t="shared" si="32"/>
        <v>1</v>
      </c>
    </row>
    <row r="918" spans="4:8" ht="29.25" customHeight="1" x14ac:dyDescent="0.3">
      <c r="D918" s="34">
        <v>45418</v>
      </c>
      <c r="E918">
        <f t="shared" si="31"/>
        <v>17827</v>
      </c>
      <c r="G918" s="34">
        <v>45418</v>
      </c>
      <c r="H918" s="34" t="b">
        <f t="shared" si="32"/>
        <v>1</v>
      </c>
    </row>
    <row r="919" spans="4:8" ht="29.25" customHeight="1" x14ac:dyDescent="0.3">
      <c r="D919" s="34">
        <v>45419</v>
      </c>
      <c r="E919">
        <f t="shared" si="31"/>
        <v>17827</v>
      </c>
      <c r="G919" s="34">
        <v>45419</v>
      </c>
      <c r="H919" s="34" t="b">
        <f t="shared" si="32"/>
        <v>1</v>
      </c>
    </row>
    <row r="920" spans="4:8" ht="29.25" customHeight="1" x14ac:dyDescent="0.3">
      <c r="D920" s="34">
        <v>45420</v>
      </c>
      <c r="E920">
        <f t="shared" si="31"/>
        <v>20753</v>
      </c>
      <c r="G920" s="34">
        <v>45420</v>
      </c>
      <c r="H920" s="34" t="b">
        <f t="shared" si="32"/>
        <v>1</v>
      </c>
    </row>
    <row r="921" spans="4:8" ht="29.25" customHeight="1" x14ac:dyDescent="0.3">
      <c r="D921" s="34">
        <v>45421</v>
      </c>
      <c r="E921">
        <f t="shared" si="31"/>
        <v>20753</v>
      </c>
      <c r="G921" s="34">
        <v>45421</v>
      </c>
      <c r="H921" s="34" t="b">
        <f t="shared" si="32"/>
        <v>1</v>
      </c>
    </row>
    <row r="922" spans="4:8" ht="29.25" customHeight="1" x14ac:dyDescent="0.3">
      <c r="D922" s="34">
        <v>45422</v>
      </c>
      <c r="E922">
        <f t="shared" si="31"/>
        <v>20753</v>
      </c>
      <c r="G922" s="34">
        <v>45422</v>
      </c>
      <c r="H922" s="34" t="b">
        <f t="shared" si="32"/>
        <v>1</v>
      </c>
    </row>
    <row r="923" spans="4:8" ht="29.25" customHeight="1" x14ac:dyDescent="0.3">
      <c r="D923" s="34">
        <v>45425</v>
      </c>
      <c r="E923">
        <f t="shared" si="31"/>
        <v>20753</v>
      </c>
      <c r="G923" s="34">
        <v>45425</v>
      </c>
      <c r="H923" s="34" t="b">
        <f t="shared" si="32"/>
        <v>1</v>
      </c>
    </row>
    <row r="924" spans="4:8" ht="29.25" customHeight="1" x14ac:dyDescent="0.3">
      <c r="D924" s="34">
        <v>45426</v>
      </c>
      <c r="E924">
        <f t="shared" si="31"/>
        <v>20753</v>
      </c>
      <c r="G924" s="34">
        <v>45426</v>
      </c>
      <c r="H924" s="34" t="b">
        <f t="shared" si="32"/>
        <v>1</v>
      </c>
    </row>
    <row r="925" spans="4:8" ht="29.25" customHeight="1" x14ac:dyDescent="0.3">
      <c r="D925" s="34">
        <v>45427</v>
      </c>
      <c r="E925">
        <f t="shared" si="31"/>
        <v>19115</v>
      </c>
      <c r="G925" s="34">
        <v>45427</v>
      </c>
      <c r="H925" s="34" t="b">
        <f t="shared" si="32"/>
        <v>1</v>
      </c>
    </row>
    <row r="926" spans="4:8" ht="29.25" customHeight="1" x14ac:dyDescent="0.3">
      <c r="D926" s="34">
        <v>45428</v>
      </c>
      <c r="E926">
        <f t="shared" si="31"/>
        <v>19115</v>
      </c>
      <c r="G926" s="34">
        <v>45428</v>
      </c>
      <c r="H926" s="34" t="b">
        <f t="shared" si="32"/>
        <v>1</v>
      </c>
    </row>
    <row r="927" spans="4:8" ht="29.25" customHeight="1" x14ac:dyDescent="0.3">
      <c r="D927" s="34">
        <v>45429</v>
      </c>
      <c r="E927">
        <f t="shared" si="31"/>
        <v>19115</v>
      </c>
      <c r="G927" s="34">
        <v>45429</v>
      </c>
      <c r="H927" s="34" t="b">
        <f t="shared" si="32"/>
        <v>1</v>
      </c>
    </row>
    <row r="928" spans="4:8" ht="29.25" customHeight="1" x14ac:dyDescent="0.3">
      <c r="D928" s="34">
        <v>45432</v>
      </c>
      <c r="E928">
        <f t="shared" si="31"/>
        <v>19115</v>
      </c>
      <c r="G928" s="34">
        <v>45432</v>
      </c>
      <c r="H928" s="34" t="b">
        <f t="shared" si="32"/>
        <v>1</v>
      </c>
    </row>
    <row r="929" spans="4:8" ht="29.25" customHeight="1" x14ac:dyDescent="0.3">
      <c r="D929" s="34">
        <v>45433</v>
      </c>
      <c r="E929">
        <f t="shared" si="31"/>
        <v>19115</v>
      </c>
      <c r="G929" s="34">
        <v>45433</v>
      </c>
      <c r="H929" s="34" t="b">
        <f t="shared" si="32"/>
        <v>1</v>
      </c>
    </row>
    <row r="930" spans="4:8" ht="29.25" customHeight="1" x14ac:dyDescent="0.3">
      <c r="D930" s="34">
        <v>45434</v>
      </c>
      <c r="E930">
        <f t="shared" si="31"/>
        <v>15778</v>
      </c>
      <c r="G930" s="34">
        <v>45434</v>
      </c>
      <c r="H930" s="34" t="b">
        <f t="shared" si="32"/>
        <v>1</v>
      </c>
    </row>
    <row r="931" spans="4:8" ht="29.25" customHeight="1" x14ac:dyDescent="0.3">
      <c r="D931" s="34">
        <v>45435</v>
      </c>
      <c r="E931">
        <f t="shared" si="31"/>
        <v>15778</v>
      </c>
      <c r="G931" s="34">
        <v>45435</v>
      </c>
      <c r="H931" s="34" t="b">
        <f t="shared" si="32"/>
        <v>1</v>
      </c>
    </row>
    <row r="932" spans="4:8" ht="29.25" customHeight="1" x14ac:dyDescent="0.3">
      <c r="D932" s="34">
        <v>45436</v>
      </c>
      <c r="E932">
        <f t="shared" si="31"/>
        <v>15778</v>
      </c>
      <c r="G932" s="34">
        <v>45436</v>
      </c>
      <c r="H932" s="34" t="b">
        <f t="shared" si="32"/>
        <v>1</v>
      </c>
    </row>
    <row r="933" spans="4:8" ht="29.25" customHeight="1" x14ac:dyDescent="0.3">
      <c r="D933" s="34">
        <v>45439</v>
      </c>
      <c r="E933">
        <f t="shared" si="31"/>
        <v>15778</v>
      </c>
      <c r="G933" s="34">
        <v>45439</v>
      </c>
      <c r="H933" s="34" t="b">
        <f t="shared" si="32"/>
        <v>1</v>
      </c>
    </row>
    <row r="934" spans="4:8" ht="29.25" customHeight="1" x14ac:dyDescent="0.3">
      <c r="D934" s="34">
        <v>45440</v>
      </c>
      <c r="E934">
        <f t="shared" si="31"/>
        <v>15778</v>
      </c>
      <c r="G934" s="34">
        <v>45440</v>
      </c>
      <c r="H934" s="34" t="b">
        <f t="shared" si="32"/>
        <v>1</v>
      </c>
    </row>
    <row r="935" spans="4:8" ht="29.25" customHeight="1" x14ac:dyDescent="0.3">
      <c r="D935" s="34">
        <v>45441</v>
      </c>
      <c r="E935">
        <f t="shared" si="31"/>
        <v>16994</v>
      </c>
      <c r="G935" s="34">
        <v>45441</v>
      </c>
      <c r="H935" s="34" t="b">
        <f t="shared" si="32"/>
        <v>1</v>
      </c>
    </row>
    <row r="936" spans="4:8" ht="29.25" customHeight="1" x14ac:dyDescent="0.3">
      <c r="D936" s="34">
        <v>45442</v>
      </c>
      <c r="E936">
        <f t="shared" si="31"/>
        <v>16994</v>
      </c>
      <c r="G936" s="34">
        <v>45442</v>
      </c>
      <c r="H936" s="34" t="b">
        <f t="shared" si="32"/>
        <v>1</v>
      </c>
    </row>
    <row r="937" spans="4:8" ht="29.25" customHeight="1" x14ac:dyDescent="0.3">
      <c r="D937" s="34">
        <v>45443</v>
      </c>
      <c r="E937">
        <f t="shared" si="31"/>
        <v>16994</v>
      </c>
      <c r="G937" s="34">
        <v>45443</v>
      </c>
      <c r="H937" s="34" t="b">
        <f t="shared" si="32"/>
        <v>1</v>
      </c>
    </row>
    <row r="938" spans="4:8" ht="29.25" customHeight="1" x14ac:dyDescent="0.3">
      <c r="D938" s="34">
        <v>45446</v>
      </c>
      <c r="E938">
        <f t="shared" si="31"/>
        <v>16994</v>
      </c>
      <c r="G938" s="34">
        <v>45446</v>
      </c>
      <c r="H938" s="34" t="b">
        <f t="shared" si="32"/>
        <v>1</v>
      </c>
    </row>
    <row r="939" spans="4:8" ht="29.25" customHeight="1" x14ac:dyDescent="0.3">
      <c r="D939" s="34">
        <v>45447</v>
      </c>
      <c r="E939">
        <f t="shared" si="31"/>
        <v>16994</v>
      </c>
      <c r="G939" s="34">
        <v>45447</v>
      </c>
      <c r="H939" s="34" t="b">
        <f t="shared" si="32"/>
        <v>1</v>
      </c>
    </row>
    <row r="940" spans="4:8" ht="29.25" customHeight="1" x14ac:dyDescent="0.3">
      <c r="D940" s="34">
        <v>45448</v>
      </c>
      <c r="E940">
        <f t="shared" si="31"/>
        <v>18856</v>
      </c>
      <c r="G940" s="34">
        <v>45448</v>
      </c>
      <c r="H940" s="34" t="b">
        <f t="shared" si="32"/>
        <v>1</v>
      </c>
    </row>
    <row r="941" spans="4:8" ht="29.25" customHeight="1" x14ac:dyDescent="0.3">
      <c r="D941" s="34">
        <v>45449</v>
      </c>
      <c r="E941">
        <f t="shared" si="31"/>
        <v>18856</v>
      </c>
      <c r="G941" s="34">
        <v>45449</v>
      </c>
      <c r="H941" s="34" t="b">
        <f t="shared" si="32"/>
        <v>1</v>
      </c>
    </row>
    <row r="942" spans="4:8" ht="29.25" customHeight="1" x14ac:dyDescent="0.3">
      <c r="D942" s="34">
        <v>45450</v>
      </c>
      <c r="E942">
        <f t="shared" si="31"/>
        <v>18856</v>
      </c>
      <c r="G942" s="34">
        <v>45450</v>
      </c>
      <c r="H942" s="34" t="b">
        <f t="shared" si="32"/>
        <v>1</v>
      </c>
    </row>
    <row r="943" spans="4:8" ht="29.25" customHeight="1" x14ac:dyDescent="0.3">
      <c r="D943" s="34">
        <v>45453</v>
      </c>
      <c r="E943">
        <f t="shared" si="31"/>
        <v>18856</v>
      </c>
      <c r="G943" s="34">
        <v>45453</v>
      </c>
      <c r="H943" s="34" t="b">
        <f t="shared" si="32"/>
        <v>1</v>
      </c>
    </row>
    <row r="944" spans="4:8" ht="29.25" customHeight="1" x14ac:dyDescent="0.3">
      <c r="D944" s="34">
        <v>45454</v>
      </c>
      <c r="E944">
        <f t="shared" si="31"/>
        <v>18856</v>
      </c>
      <c r="G944" s="34">
        <v>45454</v>
      </c>
      <c r="H944" s="34" t="b">
        <f t="shared" si="32"/>
        <v>1</v>
      </c>
    </row>
    <row r="945" spans="4:8" ht="29.25" customHeight="1" x14ac:dyDescent="0.3">
      <c r="D945" s="34">
        <v>45455</v>
      </c>
      <c r="E945">
        <f t="shared" si="31"/>
        <v>19163</v>
      </c>
      <c r="G945" s="34">
        <v>45455</v>
      </c>
      <c r="H945" s="34" t="b">
        <f t="shared" si="32"/>
        <v>1</v>
      </c>
    </row>
    <row r="946" spans="4:8" ht="29.25" customHeight="1" x14ac:dyDescent="0.3">
      <c r="D946" s="34">
        <v>45456</v>
      </c>
      <c r="E946">
        <f t="shared" si="31"/>
        <v>19163</v>
      </c>
      <c r="G946" s="34">
        <v>45456</v>
      </c>
      <c r="H946" s="34" t="b">
        <f t="shared" si="32"/>
        <v>1</v>
      </c>
    </row>
    <row r="947" spans="4:8" ht="29.25" customHeight="1" x14ac:dyDescent="0.3">
      <c r="D947" s="34">
        <v>45457</v>
      </c>
      <c r="E947">
        <f t="shared" si="31"/>
        <v>19163</v>
      </c>
      <c r="G947" s="34">
        <v>45457</v>
      </c>
      <c r="H947" s="34" t="b">
        <f t="shared" si="32"/>
        <v>1</v>
      </c>
    </row>
    <row r="948" spans="4:8" ht="29.25" customHeight="1" x14ac:dyDescent="0.3">
      <c r="D948" s="34">
        <v>45460</v>
      </c>
      <c r="E948">
        <f t="shared" si="31"/>
        <v>19163</v>
      </c>
      <c r="G948" s="34">
        <v>45460</v>
      </c>
      <c r="H948" s="34" t="b">
        <f t="shared" si="32"/>
        <v>1</v>
      </c>
    </row>
    <row r="949" spans="4:8" ht="29.25" customHeight="1" x14ac:dyDescent="0.3">
      <c r="D949" s="34">
        <v>45461</v>
      </c>
      <c r="E949">
        <f t="shared" si="31"/>
        <v>19163</v>
      </c>
      <c r="G949" s="34">
        <v>45461</v>
      </c>
      <c r="H949" s="34" t="b">
        <f t="shared" si="32"/>
        <v>1</v>
      </c>
    </row>
    <row r="950" spans="4:8" ht="29.25" customHeight="1" x14ac:dyDescent="0.3">
      <c r="D950" s="34">
        <v>45462</v>
      </c>
      <c r="E950">
        <f t="shared" si="31"/>
        <v>22807</v>
      </c>
      <c r="G950" s="34">
        <v>45462</v>
      </c>
      <c r="H950" s="34" t="b">
        <f t="shared" si="32"/>
        <v>1</v>
      </c>
    </row>
    <row r="951" spans="4:8" ht="29.25" customHeight="1" x14ac:dyDescent="0.3">
      <c r="D951" s="34">
        <v>45463</v>
      </c>
      <c r="E951">
        <f t="shared" si="31"/>
        <v>22807</v>
      </c>
      <c r="G951" s="34">
        <v>45463</v>
      </c>
      <c r="H951" s="34" t="b">
        <f t="shared" si="32"/>
        <v>1</v>
      </c>
    </row>
    <row r="952" spans="4:8" ht="29.25" customHeight="1" x14ac:dyDescent="0.3">
      <c r="D952" s="34">
        <v>45464</v>
      </c>
      <c r="E952">
        <f t="shared" si="31"/>
        <v>22807</v>
      </c>
      <c r="G952" s="34">
        <v>45464</v>
      </c>
      <c r="H952" s="34" t="b">
        <f t="shared" si="32"/>
        <v>1</v>
      </c>
    </row>
    <row r="953" spans="4:8" ht="29.25" customHeight="1" x14ac:dyDescent="0.3">
      <c r="D953" s="34">
        <v>45467</v>
      </c>
      <c r="E953">
        <f t="shared" si="31"/>
        <v>22807</v>
      </c>
      <c r="G953" s="34">
        <v>45467</v>
      </c>
      <c r="H953" s="34" t="b">
        <f t="shared" si="32"/>
        <v>1</v>
      </c>
    </row>
    <row r="954" spans="4:8" ht="29.25" customHeight="1" x14ac:dyDescent="0.3">
      <c r="D954" s="34">
        <v>45468</v>
      </c>
      <c r="E954">
        <f t="shared" si="31"/>
        <v>22807</v>
      </c>
      <c r="G954" s="34">
        <v>45468</v>
      </c>
      <c r="H954" s="34" t="b">
        <f t="shared" si="32"/>
        <v>1</v>
      </c>
    </row>
    <row r="955" spans="4:8" ht="29.25" customHeight="1" x14ac:dyDescent="0.3">
      <c r="D955" s="34">
        <v>45469</v>
      </c>
      <c r="E955">
        <f t="shared" si="31"/>
        <v>19293</v>
      </c>
      <c r="G955" s="34">
        <v>45469</v>
      </c>
      <c r="H955" s="34" t="b">
        <f t="shared" si="32"/>
        <v>1</v>
      </c>
    </row>
    <row r="956" spans="4:8" ht="29.25" customHeight="1" x14ac:dyDescent="0.3">
      <c r="D956" s="34">
        <v>45470</v>
      </c>
      <c r="E956">
        <f t="shared" si="31"/>
        <v>19293</v>
      </c>
      <c r="G956" s="34">
        <v>45470</v>
      </c>
      <c r="H956" s="34" t="b">
        <f t="shared" si="32"/>
        <v>1</v>
      </c>
    </row>
    <row r="957" spans="4:8" ht="29.25" customHeight="1" x14ac:dyDescent="0.3">
      <c r="D957" s="34">
        <v>45471</v>
      </c>
      <c r="E957">
        <f t="shared" si="31"/>
        <v>19293</v>
      </c>
      <c r="G957" s="34">
        <v>45471</v>
      </c>
      <c r="H957" s="34" t="b">
        <f t="shared" si="32"/>
        <v>1</v>
      </c>
    </row>
    <row r="958" spans="4:8" ht="29.25" customHeight="1" x14ac:dyDescent="0.3">
      <c r="D958" s="34">
        <v>45474</v>
      </c>
      <c r="E958">
        <f t="shared" si="31"/>
        <v>19293</v>
      </c>
      <c r="G958" s="34">
        <v>45474</v>
      </c>
      <c r="H958" s="34" t="b">
        <f t="shared" si="32"/>
        <v>1</v>
      </c>
    </row>
    <row r="959" spans="4:8" ht="29.25" customHeight="1" x14ac:dyDescent="0.3">
      <c r="D959" s="34">
        <v>45475</v>
      </c>
      <c r="E959">
        <f t="shared" si="31"/>
        <v>19293</v>
      </c>
      <c r="G959" s="34">
        <v>45475</v>
      </c>
      <c r="H959" s="34" t="b">
        <f t="shared" si="32"/>
        <v>1</v>
      </c>
    </row>
    <row r="960" spans="4:8" ht="29.25" customHeight="1" x14ac:dyDescent="0.3">
      <c r="D960" s="34">
        <v>45476</v>
      </c>
      <c r="E960">
        <f t="shared" si="31"/>
        <v>19596</v>
      </c>
      <c r="G960" s="34">
        <v>45476</v>
      </c>
      <c r="H960" s="34" t="b">
        <f t="shared" si="32"/>
        <v>1</v>
      </c>
    </row>
    <row r="961" spans="4:8" ht="29.25" customHeight="1" x14ac:dyDescent="0.3">
      <c r="D961" s="34">
        <v>45477</v>
      </c>
      <c r="E961">
        <f t="shared" si="31"/>
        <v>19596</v>
      </c>
      <c r="G961" s="34">
        <v>45477</v>
      </c>
      <c r="H961" s="34" t="b">
        <f t="shared" si="32"/>
        <v>1</v>
      </c>
    </row>
    <row r="962" spans="4:8" ht="29.25" customHeight="1" x14ac:dyDescent="0.3">
      <c r="D962" s="34">
        <v>45478</v>
      </c>
      <c r="E962">
        <f t="shared" si="31"/>
        <v>19596</v>
      </c>
      <c r="G962" s="34">
        <v>45478</v>
      </c>
      <c r="H962" s="34" t="b">
        <f t="shared" si="32"/>
        <v>1</v>
      </c>
    </row>
    <row r="963" spans="4:8" ht="29.25" customHeight="1" x14ac:dyDescent="0.3">
      <c r="D963" s="34">
        <v>45481</v>
      </c>
      <c r="E963">
        <f t="shared" ref="E963:E1026" si="33">LOOKUP(D963,A:A,B:B)</f>
        <v>19596</v>
      </c>
      <c r="G963" s="34">
        <v>45481</v>
      </c>
      <c r="H963" s="34" t="b">
        <f t="shared" ref="H963:H1026" si="34">G963=D963</f>
        <v>1</v>
      </c>
    </row>
    <row r="964" spans="4:8" ht="29.25" customHeight="1" x14ac:dyDescent="0.3">
      <c r="D964" s="34">
        <v>45482</v>
      </c>
      <c r="E964">
        <f t="shared" si="33"/>
        <v>19596</v>
      </c>
      <c r="G964" s="34">
        <v>45482</v>
      </c>
      <c r="H964" s="34" t="b">
        <f t="shared" si="34"/>
        <v>1</v>
      </c>
    </row>
    <row r="965" spans="4:8" ht="29.25" customHeight="1" x14ac:dyDescent="0.3">
      <c r="D965" s="34">
        <v>45483</v>
      </c>
      <c r="E965">
        <f t="shared" si="33"/>
        <v>17807</v>
      </c>
      <c r="G965" s="34">
        <v>45483</v>
      </c>
      <c r="H965" s="34" t="b">
        <f t="shared" si="34"/>
        <v>1</v>
      </c>
    </row>
    <row r="966" spans="4:8" ht="29.25" customHeight="1" x14ac:dyDescent="0.3">
      <c r="D966" s="34">
        <v>45484</v>
      </c>
      <c r="E966">
        <f t="shared" si="33"/>
        <v>17807</v>
      </c>
      <c r="G966" s="34">
        <v>45484</v>
      </c>
      <c r="H966" s="34" t="b">
        <f t="shared" si="34"/>
        <v>1</v>
      </c>
    </row>
    <row r="967" spans="4:8" ht="29.25" customHeight="1" x14ac:dyDescent="0.3">
      <c r="D967" s="34">
        <v>45485</v>
      </c>
      <c r="E967">
        <f t="shared" si="33"/>
        <v>17807</v>
      </c>
      <c r="G967" s="34">
        <v>45485</v>
      </c>
      <c r="H967" s="34" t="b">
        <f t="shared" si="34"/>
        <v>1</v>
      </c>
    </row>
    <row r="968" spans="4:8" ht="29.25" customHeight="1" x14ac:dyDescent="0.3">
      <c r="D968" s="34">
        <v>45488</v>
      </c>
      <c r="E968">
        <f t="shared" si="33"/>
        <v>17807</v>
      </c>
      <c r="G968" s="34">
        <v>45488</v>
      </c>
      <c r="H968" s="34" t="b">
        <f t="shared" si="34"/>
        <v>1</v>
      </c>
    </row>
    <row r="969" spans="4:8" ht="29.25" customHeight="1" x14ac:dyDescent="0.3">
      <c r="D969" s="34">
        <v>45489</v>
      </c>
      <c r="E969">
        <f t="shared" si="33"/>
        <v>17807</v>
      </c>
      <c r="G969" s="34">
        <v>45489</v>
      </c>
      <c r="H969" s="34" t="b">
        <f t="shared" si="34"/>
        <v>1</v>
      </c>
    </row>
    <row r="970" spans="4:8" ht="29.25" customHeight="1" x14ac:dyDescent="0.3">
      <c r="D970" s="34">
        <v>45490</v>
      </c>
      <c r="E970">
        <f t="shared" si="33"/>
        <v>20132</v>
      </c>
      <c r="G970" s="34">
        <v>45490</v>
      </c>
      <c r="H970" s="34" t="b">
        <f t="shared" si="34"/>
        <v>1</v>
      </c>
    </row>
    <row r="971" spans="4:8" ht="29.25" customHeight="1" x14ac:dyDescent="0.3">
      <c r="D971" s="34">
        <v>45491</v>
      </c>
      <c r="E971">
        <f t="shared" si="33"/>
        <v>20132</v>
      </c>
      <c r="G971" s="34">
        <v>45491</v>
      </c>
      <c r="H971" s="34" t="b">
        <f t="shared" si="34"/>
        <v>1</v>
      </c>
    </row>
    <row r="972" spans="4:8" ht="29.25" customHeight="1" x14ac:dyDescent="0.3">
      <c r="D972" s="34">
        <v>45492</v>
      </c>
      <c r="E972">
        <f t="shared" si="33"/>
        <v>20132</v>
      </c>
      <c r="G972" s="34">
        <v>45492</v>
      </c>
      <c r="H972" s="34" t="b">
        <f t="shared" si="34"/>
        <v>1</v>
      </c>
    </row>
    <row r="973" spans="4:8" ht="29.25" customHeight="1" x14ac:dyDescent="0.3">
      <c r="D973" s="34">
        <v>45495</v>
      </c>
      <c r="E973">
        <f t="shared" si="33"/>
        <v>20132</v>
      </c>
      <c r="G973" s="34">
        <v>45495</v>
      </c>
      <c r="H973" s="34" t="b">
        <f t="shared" si="34"/>
        <v>1</v>
      </c>
    </row>
    <row r="974" spans="4:8" ht="29.25" customHeight="1" x14ac:dyDescent="0.3">
      <c r="D974" s="34">
        <v>45496</v>
      </c>
      <c r="E974">
        <f t="shared" si="33"/>
        <v>20132</v>
      </c>
      <c r="G974" s="34">
        <v>45496</v>
      </c>
      <c r="H974" s="34" t="b">
        <f t="shared" si="34"/>
        <v>1</v>
      </c>
    </row>
    <row r="975" spans="4:8" ht="29.25" customHeight="1" x14ac:dyDescent="0.3">
      <c r="D975" s="34">
        <v>45497</v>
      </c>
      <c r="E975">
        <f t="shared" si="33"/>
        <v>19855</v>
      </c>
      <c r="G975" s="34">
        <v>45497</v>
      </c>
      <c r="H975" s="34" t="b">
        <f t="shared" si="34"/>
        <v>1</v>
      </c>
    </row>
    <row r="976" spans="4:8" ht="29.25" customHeight="1" x14ac:dyDescent="0.3">
      <c r="D976" s="34">
        <v>45498</v>
      </c>
      <c r="E976">
        <f t="shared" si="33"/>
        <v>19855</v>
      </c>
      <c r="G976" s="34">
        <v>45498</v>
      </c>
      <c r="H976" s="34" t="b">
        <f t="shared" si="34"/>
        <v>1</v>
      </c>
    </row>
    <row r="977" spans="4:8" ht="29.25" customHeight="1" x14ac:dyDescent="0.3">
      <c r="D977" s="34">
        <v>45499</v>
      </c>
      <c r="E977">
        <f t="shared" si="33"/>
        <v>19855</v>
      </c>
      <c r="G977" s="34">
        <v>45499</v>
      </c>
      <c r="H977" s="34" t="b">
        <f t="shared" si="34"/>
        <v>1</v>
      </c>
    </row>
    <row r="978" spans="4:8" ht="29.25" customHeight="1" x14ac:dyDescent="0.3">
      <c r="D978" s="34">
        <v>45502</v>
      </c>
      <c r="E978">
        <f t="shared" si="33"/>
        <v>19855</v>
      </c>
      <c r="G978" s="34">
        <v>45502</v>
      </c>
      <c r="H978" s="34" t="b">
        <f t="shared" si="34"/>
        <v>1</v>
      </c>
    </row>
    <row r="979" spans="4:8" ht="29.25" customHeight="1" x14ac:dyDescent="0.3">
      <c r="D979" s="34">
        <v>45503</v>
      </c>
      <c r="E979">
        <f t="shared" si="33"/>
        <v>19855</v>
      </c>
      <c r="G979" s="34">
        <v>45503</v>
      </c>
      <c r="H979" s="34" t="b">
        <f t="shared" si="34"/>
        <v>1</v>
      </c>
    </row>
    <row r="980" spans="4:8" ht="29.25" customHeight="1" x14ac:dyDescent="0.3">
      <c r="D980" s="34">
        <v>45504</v>
      </c>
      <c r="E980">
        <f t="shared" si="33"/>
        <v>19555</v>
      </c>
      <c r="G980" s="34">
        <v>45504</v>
      </c>
      <c r="H980" s="34" t="b">
        <f t="shared" si="34"/>
        <v>1</v>
      </c>
    </row>
    <row r="981" spans="4:8" ht="29.25" customHeight="1" x14ac:dyDescent="0.3">
      <c r="D981" s="34">
        <v>45505</v>
      </c>
      <c r="E981">
        <f t="shared" si="33"/>
        <v>19555</v>
      </c>
      <c r="G981" s="34">
        <v>45505</v>
      </c>
      <c r="H981" s="34" t="b">
        <f t="shared" si="34"/>
        <v>1</v>
      </c>
    </row>
    <row r="982" spans="4:8" ht="29.25" customHeight="1" x14ac:dyDescent="0.3">
      <c r="D982" s="34">
        <v>45506</v>
      </c>
      <c r="E982">
        <f t="shared" si="33"/>
        <v>19555</v>
      </c>
      <c r="G982" s="34">
        <v>45506</v>
      </c>
      <c r="H982" s="34" t="b">
        <f t="shared" si="34"/>
        <v>1</v>
      </c>
    </row>
    <row r="983" spans="4:8" ht="29.25" customHeight="1" x14ac:dyDescent="0.3">
      <c r="D983" s="34">
        <v>45509</v>
      </c>
      <c r="E983">
        <f t="shared" si="33"/>
        <v>19555</v>
      </c>
      <c r="G983" s="34">
        <v>45509</v>
      </c>
      <c r="H983" s="34" t="b">
        <f t="shared" si="34"/>
        <v>1</v>
      </c>
    </row>
    <row r="984" spans="4:8" ht="29.25" customHeight="1" x14ac:dyDescent="0.3">
      <c r="D984" s="34">
        <v>45510</v>
      </c>
      <c r="E984">
        <f t="shared" si="33"/>
        <v>19555</v>
      </c>
      <c r="G984" s="34">
        <v>45510</v>
      </c>
      <c r="H984" s="34" t="b">
        <f t="shared" si="34"/>
        <v>1</v>
      </c>
    </row>
    <row r="985" spans="4:8" ht="29.25" customHeight="1" x14ac:dyDescent="0.3">
      <c r="D985" s="34">
        <v>45511</v>
      </c>
      <c r="E985">
        <f t="shared" si="33"/>
        <v>19727</v>
      </c>
      <c r="G985" s="34">
        <v>45511</v>
      </c>
      <c r="H985" s="34" t="b">
        <f t="shared" si="34"/>
        <v>1</v>
      </c>
    </row>
    <row r="986" spans="4:8" ht="29.25" customHeight="1" x14ac:dyDescent="0.3">
      <c r="D986" s="34">
        <v>45512</v>
      </c>
      <c r="E986">
        <f t="shared" si="33"/>
        <v>19727</v>
      </c>
      <c r="G986" s="34">
        <v>45512</v>
      </c>
      <c r="H986" s="34" t="b">
        <f t="shared" si="34"/>
        <v>1</v>
      </c>
    </row>
    <row r="987" spans="4:8" ht="29.25" customHeight="1" x14ac:dyDescent="0.3">
      <c r="D987" s="34">
        <v>45513</v>
      </c>
      <c r="E987">
        <f t="shared" si="33"/>
        <v>19727</v>
      </c>
      <c r="G987" s="34">
        <v>45513</v>
      </c>
      <c r="H987" s="34" t="b">
        <f t="shared" si="34"/>
        <v>1</v>
      </c>
    </row>
    <row r="988" spans="4:8" ht="29.25" customHeight="1" x14ac:dyDescent="0.3">
      <c r="D988" s="34">
        <v>45516</v>
      </c>
      <c r="E988">
        <f t="shared" si="33"/>
        <v>19727</v>
      </c>
      <c r="G988" s="34">
        <v>45516</v>
      </c>
      <c r="H988" s="34" t="b">
        <f t="shared" si="34"/>
        <v>1</v>
      </c>
    </row>
    <row r="989" spans="4:8" ht="29.25" customHeight="1" x14ac:dyDescent="0.3">
      <c r="D989" s="34">
        <v>45517</v>
      </c>
      <c r="E989">
        <f t="shared" si="33"/>
        <v>19727</v>
      </c>
      <c r="G989" s="34">
        <v>45517</v>
      </c>
      <c r="H989" s="34" t="b">
        <f t="shared" si="34"/>
        <v>1</v>
      </c>
    </row>
    <row r="990" spans="4:8" ht="29.25" customHeight="1" x14ac:dyDescent="0.3">
      <c r="D990" s="34">
        <v>45518</v>
      </c>
      <c r="E990">
        <f t="shared" si="33"/>
        <v>18143</v>
      </c>
      <c r="G990" s="34">
        <v>45518</v>
      </c>
      <c r="H990" s="34" t="b">
        <f t="shared" si="34"/>
        <v>1</v>
      </c>
    </row>
    <row r="991" spans="4:8" ht="29.25" customHeight="1" x14ac:dyDescent="0.3">
      <c r="D991" s="34">
        <v>45519</v>
      </c>
      <c r="E991">
        <f t="shared" si="33"/>
        <v>18143</v>
      </c>
      <c r="G991" s="34">
        <v>45519</v>
      </c>
      <c r="H991" s="34" t="b">
        <f t="shared" si="34"/>
        <v>1</v>
      </c>
    </row>
    <row r="992" spans="4:8" ht="29.25" customHeight="1" x14ac:dyDescent="0.3">
      <c r="D992" s="34">
        <v>45520</v>
      </c>
      <c r="E992">
        <f t="shared" si="33"/>
        <v>18143</v>
      </c>
      <c r="G992" s="34">
        <v>45520</v>
      </c>
      <c r="H992" s="34" t="b">
        <f t="shared" si="34"/>
        <v>1</v>
      </c>
    </row>
    <row r="993" spans="4:8" ht="29.25" customHeight="1" x14ac:dyDescent="0.3">
      <c r="D993" s="34">
        <v>45523</v>
      </c>
      <c r="E993">
        <f t="shared" si="33"/>
        <v>18143</v>
      </c>
      <c r="G993" s="34">
        <v>45523</v>
      </c>
      <c r="H993" s="34" t="b">
        <f t="shared" si="34"/>
        <v>1</v>
      </c>
    </row>
    <row r="994" spans="4:8" ht="29.25" customHeight="1" x14ac:dyDescent="0.3">
      <c r="D994" s="34">
        <v>45524</v>
      </c>
      <c r="E994">
        <f t="shared" si="33"/>
        <v>18143</v>
      </c>
      <c r="G994" s="34">
        <v>45524</v>
      </c>
      <c r="H994" s="34" t="b">
        <f t="shared" si="34"/>
        <v>1</v>
      </c>
    </row>
    <row r="995" spans="4:8" ht="29.25" customHeight="1" x14ac:dyDescent="0.3">
      <c r="D995" s="34">
        <v>45525</v>
      </c>
      <c r="E995">
        <f t="shared" si="33"/>
        <v>19232</v>
      </c>
      <c r="G995" s="34">
        <v>45525</v>
      </c>
      <c r="H995" s="34" t="b">
        <f t="shared" si="34"/>
        <v>1</v>
      </c>
    </row>
    <row r="996" spans="4:8" ht="29.25" customHeight="1" x14ac:dyDescent="0.3">
      <c r="D996" s="34">
        <v>45526</v>
      </c>
      <c r="E996">
        <f t="shared" si="33"/>
        <v>19232</v>
      </c>
      <c r="G996" s="34">
        <v>45526</v>
      </c>
      <c r="H996" s="34" t="b">
        <f t="shared" si="34"/>
        <v>1</v>
      </c>
    </row>
    <row r="997" spans="4:8" ht="29.25" customHeight="1" x14ac:dyDescent="0.3">
      <c r="D997" s="34">
        <v>45527</v>
      </c>
      <c r="E997">
        <f t="shared" si="33"/>
        <v>19232</v>
      </c>
      <c r="G997" s="34">
        <v>45527</v>
      </c>
      <c r="H997" s="34" t="b">
        <f t="shared" si="34"/>
        <v>1</v>
      </c>
    </row>
    <row r="998" spans="4:8" ht="29.25" customHeight="1" x14ac:dyDescent="0.3">
      <c r="D998" s="34">
        <v>45530</v>
      </c>
      <c r="E998">
        <f t="shared" si="33"/>
        <v>19232</v>
      </c>
      <c r="G998" s="34">
        <v>45530</v>
      </c>
      <c r="H998" s="34" t="b">
        <f t="shared" si="34"/>
        <v>1</v>
      </c>
    </row>
    <row r="999" spans="4:8" ht="29.25" customHeight="1" x14ac:dyDescent="0.3">
      <c r="D999" s="34">
        <v>45531</v>
      </c>
      <c r="E999">
        <f t="shared" si="33"/>
        <v>19232</v>
      </c>
      <c r="G999" s="34">
        <v>45531</v>
      </c>
      <c r="H999" s="34" t="b">
        <f t="shared" si="34"/>
        <v>1</v>
      </c>
    </row>
    <row r="1000" spans="4:8" ht="29.25" customHeight="1" x14ac:dyDescent="0.3">
      <c r="D1000" s="34">
        <v>45532</v>
      </c>
      <c r="E1000">
        <f t="shared" si="33"/>
        <v>18150</v>
      </c>
      <c r="G1000" s="34">
        <v>45532</v>
      </c>
      <c r="H1000" s="34" t="b">
        <f t="shared" si="34"/>
        <v>1</v>
      </c>
    </row>
    <row r="1001" spans="4:8" ht="29.25" customHeight="1" x14ac:dyDescent="0.3">
      <c r="D1001" s="34">
        <v>45533</v>
      </c>
      <c r="E1001">
        <f t="shared" si="33"/>
        <v>18150</v>
      </c>
      <c r="G1001" s="34">
        <v>45533</v>
      </c>
      <c r="H1001" s="34" t="b">
        <f t="shared" si="34"/>
        <v>1</v>
      </c>
    </row>
    <row r="1002" spans="4:8" ht="29.25" customHeight="1" x14ac:dyDescent="0.3">
      <c r="D1002" s="34">
        <v>45534</v>
      </c>
      <c r="E1002">
        <f t="shared" si="33"/>
        <v>18150</v>
      </c>
      <c r="G1002" s="34">
        <v>45534</v>
      </c>
      <c r="H1002" s="34" t="b">
        <f t="shared" si="34"/>
        <v>1</v>
      </c>
    </row>
    <row r="1003" spans="4:8" ht="29.25" customHeight="1" x14ac:dyDescent="0.3">
      <c r="D1003" s="34">
        <v>45537</v>
      </c>
      <c r="E1003">
        <f t="shared" si="33"/>
        <v>18150</v>
      </c>
      <c r="G1003" s="34">
        <v>45537</v>
      </c>
      <c r="H1003" s="34" t="b">
        <f t="shared" si="34"/>
        <v>1</v>
      </c>
    </row>
    <row r="1004" spans="4:8" ht="29.25" customHeight="1" x14ac:dyDescent="0.3">
      <c r="D1004" s="34">
        <v>45538</v>
      </c>
      <c r="E1004">
        <f t="shared" si="33"/>
        <v>18150</v>
      </c>
      <c r="G1004" s="34">
        <v>45538</v>
      </c>
      <c r="H1004" s="34" t="b">
        <f t="shared" si="34"/>
        <v>1</v>
      </c>
    </row>
    <row r="1005" spans="4:8" ht="29.25" customHeight="1" x14ac:dyDescent="0.3">
      <c r="D1005" s="34">
        <v>45539</v>
      </c>
      <c r="E1005">
        <f t="shared" si="33"/>
        <v>18759</v>
      </c>
      <c r="G1005" s="34">
        <v>45539</v>
      </c>
      <c r="H1005" s="34" t="b">
        <f t="shared" si="34"/>
        <v>1</v>
      </c>
    </row>
    <row r="1006" spans="4:8" ht="29.25" customHeight="1" x14ac:dyDescent="0.3">
      <c r="D1006" s="34">
        <v>45540</v>
      </c>
      <c r="E1006">
        <f t="shared" si="33"/>
        <v>18759</v>
      </c>
      <c r="G1006" s="34">
        <v>45540</v>
      </c>
      <c r="H1006" s="34" t="b">
        <f t="shared" si="34"/>
        <v>1</v>
      </c>
    </row>
    <row r="1007" spans="4:8" ht="29.25" customHeight="1" x14ac:dyDescent="0.3">
      <c r="D1007" s="34">
        <v>45541</v>
      </c>
      <c r="E1007">
        <f t="shared" si="33"/>
        <v>18759</v>
      </c>
      <c r="G1007" s="34">
        <v>45541</v>
      </c>
      <c r="H1007" s="34" t="b">
        <f t="shared" si="34"/>
        <v>1</v>
      </c>
    </row>
    <row r="1008" spans="4:8" ht="29.25" customHeight="1" x14ac:dyDescent="0.3">
      <c r="D1008" s="34">
        <v>45544</v>
      </c>
      <c r="E1008">
        <f t="shared" si="33"/>
        <v>18759</v>
      </c>
      <c r="G1008" s="34">
        <v>45544</v>
      </c>
      <c r="H1008" s="34" t="b">
        <f t="shared" si="34"/>
        <v>1</v>
      </c>
    </row>
    <row r="1009" spans="4:8" ht="29.25" customHeight="1" x14ac:dyDescent="0.3">
      <c r="D1009" s="34">
        <v>45545</v>
      </c>
      <c r="E1009">
        <f t="shared" si="33"/>
        <v>18759</v>
      </c>
      <c r="G1009" s="34">
        <v>45545</v>
      </c>
      <c r="H1009" s="34" t="b">
        <f t="shared" si="34"/>
        <v>1</v>
      </c>
    </row>
    <row r="1010" spans="4:8" ht="29.25" customHeight="1" x14ac:dyDescent="0.3">
      <c r="D1010" s="34">
        <v>45546</v>
      </c>
      <c r="E1010">
        <f t="shared" si="33"/>
        <v>16855</v>
      </c>
      <c r="G1010" s="34">
        <v>45546</v>
      </c>
      <c r="H1010" s="34" t="b">
        <f t="shared" si="34"/>
        <v>1</v>
      </c>
    </row>
    <row r="1011" spans="4:8" ht="29.25" customHeight="1" x14ac:dyDescent="0.3">
      <c r="D1011" s="34">
        <v>45547</v>
      </c>
      <c r="E1011">
        <f t="shared" si="33"/>
        <v>16855</v>
      </c>
      <c r="G1011" s="34">
        <v>45547</v>
      </c>
      <c r="H1011" s="34" t="b">
        <f t="shared" si="34"/>
        <v>1</v>
      </c>
    </row>
    <row r="1012" spans="4:8" ht="29.25" customHeight="1" x14ac:dyDescent="0.3">
      <c r="D1012" s="34">
        <v>45548</v>
      </c>
      <c r="E1012">
        <f t="shared" si="33"/>
        <v>16855</v>
      </c>
      <c r="G1012" s="34">
        <v>45548</v>
      </c>
      <c r="H1012" s="34" t="b">
        <f t="shared" si="34"/>
        <v>1</v>
      </c>
    </row>
    <row r="1013" spans="4:8" ht="29.25" customHeight="1" x14ac:dyDescent="0.3">
      <c r="D1013" s="34">
        <v>45551</v>
      </c>
      <c r="E1013">
        <f t="shared" si="33"/>
        <v>16855</v>
      </c>
      <c r="G1013" s="34">
        <v>45551</v>
      </c>
      <c r="H1013" s="34" t="b">
        <f t="shared" si="34"/>
        <v>1</v>
      </c>
    </row>
    <row r="1014" spans="4:8" ht="29.25" customHeight="1" x14ac:dyDescent="0.3">
      <c r="D1014" s="34">
        <v>45552</v>
      </c>
      <c r="E1014">
        <f t="shared" si="33"/>
        <v>16855</v>
      </c>
      <c r="G1014" s="34">
        <v>45552</v>
      </c>
      <c r="H1014" s="34" t="b">
        <f t="shared" si="34"/>
        <v>1</v>
      </c>
    </row>
    <row r="1015" spans="4:8" ht="29.25" customHeight="1" x14ac:dyDescent="0.3">
      <c r="D1015" s="34">
        <v>45553</v>
      </c>
      <c r="E1015">
        <f t="shared" si="33"/>
        <v>18545</v>
      </c>
      <c r="G1015" s="34">
        <v>45553</v>
      </c>
      <c r="H1015" s="34" t="b">
        <f t="shared" si="34"/>
        <v>1</v>
      </c>
    </row>
    <row r="1016" spans="4:8" ht="29.25" customHeight="1" x14ac:dyDescent="0.3">
      <c r="D1016" s="34">
        <v>45554</v>
      </c>
      <c r="E1016">
        <f t="shared" si="33"/>
        <v>18545</v>
      </c>
      <c r="G1016" s="34">
        <v>45554</v>
      </c>
      <c r="H1016" s="34" t="b">
        <f t="shared" si="34"/>
        <v>1</v>
      </c>
    </row>
    <row r="1017" spans="4:8" ht="29.25" customHeight="1" x14ac:dyDescent="0.3">
      <c r="D1017" s="34">
        <v>45555</v>
      </c>
      <c r="E1017">
        <f t="shared" si="33"/>
        <v>18545</v>
      </c>
      <c r="G1017" s="34">
        <v>45555</v>
      </c>
      <c r="H1017" s="34" t="b">
        <f t="shared" si="34"/>
        <v>1</v>
      </c>
    </row>
    <row r="1018" spans="4:8" ht="29.25" customHeight="1" x14ac:dyDescent="0.3">
      <c r="D1018" s="34">
        <v>45558</v>
      </c>
      <c r="E1018">
        <f t="shared" si="33"/>
        <v>18545</v>
      </c>
      <c r="G1018" s="34">
        <v>45558</v>
      </c>
      <c r="H1018" s="34" t="b">
        <f t="shared" si="34"/>
        <v>1</v>
      </c>
    </row>
    <row r="1019" spans="4:8" ht="29.25" customHeight="1" x14ac:dyDescent="0.3">
      <c r="D1019" s="34">
        <v>45559</v>
      </c>
      <c r="E1019">
        <f t="shared" si="33"/>
        <v>18545</v>
      </c>
      <c r="G1019" s="34">
        <v>45559</v>
      </c>
      <c r="H1019" s="34" t="b">
        <f t="shared" si="34"/>
        <v>1</v>
      </c>
    </row>
    <row r="1020" spans="4:8" ht="29.25" customHeight="1" x14ac:dyDescent="0.3">
      <c r="D1020" s="34">
        <v>45560</v>
      </c>
      <c r="E1020">
        <f t="shared" si="33"/>
        <v>15532</v>
      </c>
      <c r="G1020" s="34">
        <v>45560</v>
      </c>
      <c r="H1020" s="34" t="b">
        <f t="shared" si="34"/>
        <v>1</v>
      </c>
    </row>
    <row r="1021" spans="4:8" ht="29.25" customHeight="1" x14ac:dyDescent="0.3">
      <c r="D1021" s="34">
        <v>45561</v>
      </c>
      <c r="E1021">
        <f t="shared" si="33"/>
        <v>15532</v>
      </c>
      <c r="G1021" s="34">
        <v>45561</v>
      </c>
      <c r="H1021" s="34" t="b">
        <f t="shared" si="34"/>
        <v>1</v>
      </c>
    </row>
    <row r="1022" spans="4:8" ht="29.25" customHeight="1" x14ac:dyDescent="0.3">
      <c r="D1022" s="34">
        <v>45562</v>
      </c>
      <c r="E1022">
        <f t="shared" si="33"/>
        <v>15532</v>
      </c>
      <c r="G1022" s="34">
        <v>45562</v>
      </c>
      <c r="H1022" s="34" t="b">
        <f t="shared" si="34"/>
        <v>1</v>
      </c>
    </row>
    <row r="1023" spans="4:8" ht="29.25" customHeight="1" x14ac:dyDescent="0.3">
      <c r="D1023" s="34">
        <v>45565</v>
      </c>
      <c r="E1023">
        <f t="shared" si="33"/>
        <v>15532</v>
      </c>
      <c r="G1023" s="34">
        <v>45565</v>
      </c>
      <c r="H1023" s="34" t="b">
        <f t="shared" si="34"/>
        <v>1</v>
      </c>
    </row>
    <row r="1024" spans="4:8" ht="29.25" customHeight="1" x14ac:dyDescent="0.3">
      <c r="D1024" s="34">
        <v>45566</v>
      </c>
      <c r="E1024">
        <f t="shared" si="33"/>
        <v>15532</v>
      </c>
      <c r="G1024" s="34">
        <v>45566</v>
      </c>
      <c r="H1024" s="34" t="b">
        <f t="shared" si="34"/>
        <v>1</v>
      </c>
    </row>
    <row r="1025" spans="4:8" ht="29.25" customHeight="1" x14ac:dyDescent="0.3">
      <c r="D1025" s="34">
        <v>45567</v>
      </c>
      <c r="E1025">
        <f t="shared" si="33"/>
        <v>16758</v>
      </c>
      <c r="G1025" s="34">
        <v>45567</v>
      </c>
      <c r="H1025" s="34" t="b">
        <f t="shared" si="34"/>
        <v>1</v>
      </c>
    </row>
    <row r="1026" spans="4:8" ht="29.25" customHeight="1" x14ac:dyDescent="0.3">
      <c r="D1026" s="34">
        <v>45568</v>
      </c>
      <c r="E1026">
        <f t="shared" si="33"/>
        <v>16758</v>
      </c>
      <c r="G1026" s="34">
        <v>45568</v>
      </c>
      <c r="H1026" s="34" t="b">
        <f t="shared" si="34"/>
        <v>1</v>
      </c>
    </row>
    <row r="1027" spans="4:8" ht="29.25" customHeight="1" x14ac:dyDescent="0.3">
      <c r="D1027" s="34">
        <v>45569</v>
      </c>
      <c r="E1027">
        <f t="shared" ref="E1027:E1090" si="35">LOOKUP(D1027,A:A,B:B)</f>
        <v>16758</v>
      </c>
      <c r="G1027" s="34">
        <v>45569</v>
      </c>
      <c r="H1027" s="34" t="b">
        <f t="shared" ref="H1027:H1090" si="36">G1027=D1027</f>
        <v>1</v>
      </c>
    </row>
    <row r="1028" spans="4:8" ht="29.25" customHeight="1" x14ac:dyDescent="0.3">
      <c r="D1028" s="34">
        <v>45572</v>
      </c>
      <c r="E1028">
        <f t="shared" si="35"/>
        <v>16758</v>
      </c>
      <c r="G1028" s="34">
        <v>45572</v>
      </c>
      <c r="H1028" s="34" t="b">
        <f t="shared" si="36"/>
        <v>1</v>
      </c>
    </row>
    <row r="1029" spans="4:8" ht="29.25" customHeight="1" x14ac:dyDescent="0.3">
      <c r="D1029" s="34">
        <v>45573</v>
      </c>
      <c r="E1029">
        <f t="shared" si="35"/>
        <v>16758</v>
      </c>
      <c r="G1029" s="34">
        <v>45573</v>
      </c>
      <c r="H1029" s="34" t="b">
        <f t="shared" si="36"/>
        <v>1</v>
      </c>
    </row>
    <row r="1030" spans="4:8" ht="29.25" customHeight="1" x14ac:dyDescent="0.3">
      <c r="D1030" s="34">
        <v>45574</v>
      </c>
      <c r="E1030">
        <f t="shared" si="35"/>
        <v>17585</v>
      </c>
      <c r="G1030" s="34">
        <v>45574</v>
      </c>
      <c r="H1030" s="34" t="b">
        <f t="shared" si="36"/>
        <v>1</v>
      </c>
    </row>
    <row r="1031" spans="4:8" ht="29.25" customHeight="1" x14ac:dyDescent="0.3">
      <c r="D1031" s="34">
        <v>45575</v>
      </c>
      <c r="E1031">
        <f t="shared" si="35"/>
        <v>17585</v>
      </c>
      <c r="G1031" s="34">
        <v>45575</v>
      </c>
      <c r="H1031" s="34" t="b">
        <f t="shared" si="36"/>
        <v>1</v>
      </c>
    </row>
    <row r="1032" spans="4:8" ht="29.25" customHeight="1" x14ac:dyDescent="0.3">
      <c r="D1032" s="34">
        <v>45576</v>
      </c>
      <c r="E1032">
        <f t="shared" si="35"/>
        <v>17585</v>
      </c>
      <c r="G1032" s="34">
        <v>45576</v>
      </c>
      <c r="H1032" s="34" t="b">
        <f t="shared" si="36"/>
        <v>1</v>
      </c>
    </row>
    <row r="1033" spans="4:8" ht="29.25" customHeight="1" x14ac:dyDescent="0.3">
      <c r="D1033" s="34">
        <v>45579</v>
      </c>
      <c r="E1033">
        <f t="shared" si="35"/>
        <v>17585</v>
      </c>
      <c r="G1033" s="34">
        <v>45579</v>
      </c>
      <c r="H1033" s="34" t="b">
        <f t="shared" si="36"/>
        <v>1</v>
      </c>
    </row>
    <row r="1034" spans="4:8" ht="29.25" customHeight="1" x14ac:dyDescent="0.3">
      <c r="D1034" s="34">
        <v>45580</v>
      </c>
      <c r="E1034">
        <f t="shared" si="35"/>
        <v>17585</v>
      </c>
      <c r="G1034" s="34">
        <v>45580</v>
      </c>
      <c r="H1034" s="34" t="b">
        <f t="shared" si="36"/>
        <v>1</v>
      </c>
    </row>
    <row r="1035" spans="4:8" ht="29.25" customHeight="1" x14ac:dyDescent="0.3">
      <c r="D1035" s="34">
        <v>45581</v>
      </c>
      <c r="E1035">
        <f t="shared" si="35"/>
        <v>17946</v>
      </c>
      <c r="G1035" s="34">
        <v>45581</v>
      </c>
      <c r="H1035" s="34" t="b">
        <f t="shared" si="36"/>
        <v>1</v>
      </c>
    </row>
    <row r="1036" spans="4:8" ht="29.25" customHeight="1" x14ac:dyDescent="0.3">
      <c r="D1036" s="34">
        <v>45582</v>
      </c>
      <c r="E1036">
        <f t="shared" si="35"/>
        <v>17946</v>
      </c>
      <c r="G1036" s="34">
        <v>45582</v>
      </c>
      <c r="H1036" s="34" t="b">
        <f t="shared" si="36"/>
        <v>1</v>
      </c>
    </row>
    <row r="1037" spans="4:8" ht="29.25" customHeight="1" x14ac:dyDescent="0.3">
      <c r="D1037" s="34">
        <v>45583</v>
      </c>
      <c r="E1037">
        <f t="shared" si="35"/>
        <v>17946</v>
      </c>
      <c r="G1037" s="34">
        <v>45583</v>
      </c>
      <c r="H1037" s="34" t="b">
        <f t="shared" si="36"/>
        <v>1</v>
      </c>
    </row>
    <row r="1038" spans="4:8" ht="29.25" customHeight="1" x14ac:dyDescent="0.3">
      <c r="D1038" s="34">
        <v>45586</v>
      </c>
      <c r="E1038">
        <f t="shared" si="35"/>
        <v>17946</v>
      </c>
      <c r="G1038" s="34">
        <v>45586</v>
      </c>
      <c r="H1038" s="34" t="b">
        <f t="shared" si="36"/>
        <v>1</v>
      </c>
    </row>
    <row r="1039" spans="4:8" ht="29.25" customHeight="1" x14ac:dyDescent="0.3">
      <c r="D1039" s="34">
        <v>45587</v>
      </c>
      <c r="E1039">
        <f t="shared" si="35"/>
        <v>17946</v>
      </c>
      <c r="G1039" s="34">
        <v>45587</v>
      </c>
      <c r="H1039" s="34" t="b">
        <f t="shared" si="36"/>
        <v>1</v>
      </c>
    </row>
    <row r="1040" spans="4:8" ht="29.25" customHeight="1" x14ac:dyDescent="0.3">
      <c r="D1040" s="34">
        <v>45588</v>
      </c>
      <c r="E1040">
        <f t="shared" si="35"/>
        <v>20145</v>
      </c>
      <c r="G1040" s="34">
        <v>45588</v>
      </c>
      <c r="H1040" s="34" t="b">
        <f t="shared" si="36"/>
        <v>1</v>
      </c>
    </row>
    <row r="1041" spans="4:8" ht="29.25" customHeight="1" x14ac:dyDescent="0.3">
      <c r="D1041" s="34">
        <v>45589</v>
      </c>
      <c r="E1041">
        <f t="shared" si="35"/>
        <v>20145</v>
      </c>
      <c r="G1041" s="34">
        <v>45589</v>
      </c>
      <c r="H1041" s="34" t="b">
        <f t="shared" si="36"/>
        <v>1</v>
      </c>
    </row>
    <row r="1042" spans="4:8" ht="29.25" customHeight="1" x14ac:dyDescent="0.3">
      <c r="D1042" s="34">
        <v>45590</v>
      </c>
      <c r="E1042">
        <f t="shared" si="35"/>
        <v>20145</v>
      </c>
      <c r="G1042" s="34">
        <v>45590</v>
      </c>
      <c r="H1042" s="34" t="b">
        <f t="shared" si="36"/>
        <v>1</v>
      </c>
    </row>
    <row r="1043" spans="4:8" ht="29.25" customHeight="1" x14ac:dyDescent="0.3">
      <c r="D1043" s="34">
        <v>45593</v>
      </c>
      <c r="E1043">
        <f t="shared" si="35"/>
        <v>20145</v>
      </c>
      <c r="G1043" s="34">
        <v>45593</v>
      </c>
      <c r="H1043" s="34" t="b">
        <f t="shared" si="36"/>
        <v>1</v>
      </c>
    </row>
    <row r="1044" spans="4:8" ht="29.25" customHeight="1" x14ac:dyDescent="0.3">
      <c r="D1044" s="34">
        <v>45594</v>
      </c>
      <c r="E1044">
        <f t="shared" si="35"/>
        <v>20145</v>
      </c>
      <c r="G1044" s="34">
        <v>45594</v>
      </c>
      <c r="H1044" s="34" t="b">
        <f t="shared" si="36"/>
        <v>1</v>
      </c>
    </row>
    <row r="1045" spans="4:8" ht="29.25" customHeight="1" x14ac:dyDescent="0.3">
      <c r="D1045" s="34">
        <v>45595</v>
      </c>
      <c r="E1045">
        <f t="shared" si="35"/>
        <v>15354</v>
      </c>
      <c r="G1045" s="34">
        <v>45595</v>
      </c>
      <c r="H1045" s="34" t="b">
        <f t="shared" si="36"/>
        <v>1</v>
      </c>
    </row>
    <row r="1046" spans="4:8" ht="29.25" customHeight="1" x14ac:dyDescent="0.3">
      <c r="D1046" s="34">
        <v>45596</v>
      </c>
      <c r="E1046">
        <f t="shared" si="35"/>
        <v>15354</v>
      </c>
      <c r="G1046" s="34">
        <v>45596</v>
      </c>
      <c r="H1046" s="34" t="b">
        <f t="shared" si="36"/>
        <v>1</v>
      </c>
    </row>
    <row r="1047" spans="4:8" ht="29.25" customHeight="1" x14ac:dyDescent="0.3">
      <c r="D1047" s="34">
        <v>45597</v>
      </c>
      <c r="E1047">
        <f t="shared" si="35"/>
        <v>15354</v>
      </c>
      <c r="G1047" s="34">
        <v>45597</v>
      </c>
      <c r="H1047" s="34" t="b">
        <f t="shared" si="36"/>
        <v>1</v>
      </c>
    </row>
    <row r="1048" spans="4:8" ht="29.25" customHeight="1" x14ac:dyDescent="0.3">
      <c r="D1048" s="34">
        <v>45600</v>
      </c>
      <c r="E1048">
        <f t="shared" si="35"/>
        <v>15354</v>
      </c>
      <c r="G1048" s="34">
        <v>45600</v>
      </c>
      <c r="H1048" s="34" t="b">
        <f t="shared" si="36"/>
        <v>1</v>
      </c>
    </row>
    <row r="1049" spans="4:8" ht="29.25" customHeight="1" x14ac:dyDescent="0.3">
      <c r="D1049" s="34">
        <v>45601</v>
      </c>
      <c r="E1049">
        <f t="shared" si="35"/>
        <v>15354</v>
      </c>
      <c r="G1049" s="34">
        <v>45601</v>
      </c>
      <c r="H1049" s="34" t="b">
        <f t="shared" si="36"/>
        <v>1</v>
      </c>
    </row>
    <row r="1050" spans="4:8" ht="29.25" customHeight="1" x14ac:dyDescent="0.3">
      <c r="D1050" s="34">
        <v>45602</v>
      </c>
      <c r="E1050">
        <f t="shared" si="35"/>
        <v>18023</v>
      </c>
      <c r="G1050" s="34">
        <v>45602</v>
      </c>
      <c r="H1050" s="34" t="b">
        <f t="shared" si="36"/>
        <v>1</v>
      </c>
    </row>
    <row r="1051" spans="4:8" ht="29.25" customHeight="1" x14ac:dyDescent="0.3">
      <c r="D1051" s="34">
        <v>45603</v>
      </c>
      <c r="E1051">
        <f t="shared" si="35"/>
        <v>18023</v>
      </c>
      <c r="G1051" s="34">
        <v>45603</v>
      </c>
      <c r="H1051" s="34" t="b">
        <f t="shared" si="36"/>
        <v>1</v>
      </c>
    </row>
    <row r="1052" spans="4:8" ht="29.25" customHeight="1" x14ac:dyDescent="0.3">
      <c r="D1052" s="34">
        <v>45604</v>
      </c>
      <c r="E1052">
        <f t="shared" si="35"/>
        <v>18023</v>
      </c>
      <c r="G1052" s="34">
        <v>45604</v>
      </c>
      <c r="H1052" s="34" t="b">
        <f t="shared" si="36"/>
        <v>1</v>
      </c>
    </row>
    <row r="1053" spans="4:8" ht="29.25" customHeight="1" x14ac:dyDescent="0.3">
      <c r="D1053" s="34">
        <v>45607</v>
      </c>
      <c r="E1053">
        <f t="shared" si="35"/>
        <v>18023</v>
      </c>
      <c r="G1053" s="34">
        <v>45607</v>
      </c>
      <c r="H1053" s="34" t="b">
        <f t="shared" si="36"/>
        <v>1</v>
      </c>
    </row>
    <row r="1054" spans="4:8" ht="29.25" customHeight="1" x14ac:dyDescent="0.3">
      <c r="D1054" s="34">
        <v>45608</v>
      </c>
      <c r="E1054">
        <f t="shared" si="35"/>
        <v>18023</v>
      </c>
      <c r="G1054" s="34">
        <v>45608</v>
      </c>
      <c r="H1054" s="34" t="b">
        <f t="shared" si="36"/>
        <v>1</v>
      </c>
    </row>
    <row r="1055" spans="4:8" ht="29.25" customHeight="1" x14ac:dyDescent="0.3">
      <c r="D1055" s="34">
        <v>45609</v>
      </c>
      <c r="E1055">
        <f t="shared" si="35"/>
        <v>18349</v>
      </c>
      <c r="G1055" s="34">
        <v>45609</v>
      </c>
      <c r="H1055" s="34" t="b">
        <f t="shared" si="36"/>
        <v>1</v>
      </c>
    </row>
    <row r="1056" spans="4:8" ht="29.25" customHeight="1" x14ac:dyDescent="0.3">
      <c r="D1056" s="34">
        <v>45610</v>
      </c>
      <c r="E1056">
        <f t="shared" si="35"/>
        <v>18349</v>
      </c>
      <c r="G1056" s="34">
        <v>45610</v>
      </c>
      <c r="H1056" s="34" t="b">
        <f t="shared" si="36"/>
        <v>1</v>
      </c>
    </row>
    <row r="1057" spans="4:8" ht="29.25" customHeight="1" x14ac:dyDescent="0.3">
      <c r="D1057" s="34">
        <v>45611</v>
      </c>
      <c r="E1057">
        <f t="shared" si="35"/>
        <v>18349</v>
      </c>
      <c r="G1057" s="34">
        <v>45611</v>
      </c>
      <c r="H1057" s="34" t="b">
        <f t="shared" si="36"/>
        <v>1</v>
      </c>
    </row>
    <row r="1058" spans="4:8" ht="29.25" customHeight="1" x14ac:dyDescent="0.3">
      <c r="D1058" s="34">
        <v>45614</v>
      </c>
      <c r="E1058">
        <f t="shared" si="35"/>
        <v>18349</v>
      </c>
      <c r="G1058" s="34">
        <v>45614</v>
      </c>
      <c r="H1058" s="34" t="b">
        <f t="shared" si="36"/>
        <v>1</v>
      </c>
    </row>
    <row r="1059" spans="4:8" ht="29.25" customHeight="1" x14ac:dyDescent="0.3">
      <c r="D1059" s="34">
        <v>45615</v>
      </c>
      <c r="E1059">
        <f t="shared" si="35"/>
        <v>18349</v>
      </c>
      <c r="G1059" s="34">
        <v>45615</v>
      </c>
      <c r="H1059" s="34" t="b">
        <f t="shared" si="36"/>
        <v>1</v>
      </c>
    </row>
    <row r="1060" spans="4:8" ht="29.25" customHeight="1" x14ac:dyDescent="0.3">
      <c r="D1060" s="34">
        <v>45616</v>
      </c>
      <c r="E1060">
        <f t="shared" si="35"/>
        <v>16982</v>
      </c>
      <c r="G1060" s="34">
        <v>45616</v>
      </c>
      <c r="H1060" s="34" t="b">
        <f t="shared" si="36"/>
        <v>1</v>
      </c>
    </row>
    <row r="1061" spans="4:8" ht="29.25" customHeight="1" x14ac:dyDescent="0.3">
      <c r="D1061" s="34">
        <v>45617</v>
      </c>
      <c r="E1061">
        <f t="shared" si="35"/>
        <v>16982</v>
      </c>
      <c r="G1061" s="34">
        <v>45617</v>
      </c>
      <c r="H1061" s="34" t="b">
        <f t="shared" si="36"/>
        <v>1</v>
      </c>
    </row>
    <row r="1062" spans="4:8" ht="29.25" customHeight="1" x14ac:dyDescent="0.3">
      <c r="D1062" s="34">
        <v>45618</v>
      </c>
      <c r="E1062">
        <f t="shared" si="35"/>
        <v>16982</v>
      </c>
      <c r="G1062" s="34">
        <v>45618</v>
      </c>
      <c r="H1062" s="34" t="b">
        <f t="shared" si="36"/>
        <v>1</v>
      </c>
    </row>
    <row r="1063" spans="4:8" ht="29.25" customHeight="1" x14ac:dyDescent="0.3">
      <c r="D1063" s="34">
        <v>45621</v>
      </c>
      <c r="E1063">
        <f t="shared" si="35"/>
        <v>16982</v>
      </c>
      <c r="G1063" s="34">
        <v>45621</v>
      </c>
      <c r="H1063" s="34" t="b">
        <f t="shared" si="36"/>
        <v>1</v>
      </c>
    </row>
    <row r="1064" spans="4:8" ht="29.25" customHeight="1" x14ac:dyDescent="0.3">
      <c r="D1064" s="34">
        <v>45622</v>
      </c>
      <c r="E1064">
        <f t="shared" si="35"/>
        <v>16982</v>
      </c>
      <c r="G1064" s="34">
        <v>45622</v>
      </c>
      <c r="H1064" s="34" t="b">
        <f t="shared" si="36"/>
        <v>1</v>
      </c>
    </row>
    <row r="1065" spans="4:8" ht="29.25" customHeight="1" x14ac:dyDescent="0.3">
      <c r="D1065" s="34">
        <v>45623</v>
      </c>
      <c r="E1065">
        <f t="shared" si="35"/>
        <v>19232</v>
      </c>
      <c r="G1065" s="34">
        <v>45623</v>
      </c>
      <c r="H1065" s="34" t="b">
        <f t="shared" si="36"/>
        <v>1</v>
      </c>
    </row>
    <row r="1066" spans="4:8" ht="29.25" customHeight="1" x14ac:dyDescent="0.3">
      <c r="D1066" s="34">
        <v>45624</v>
      </c>
      <c r="E1066">
        <f t="shared" si="35"/>
        <v>19232</v>
      </c>
      <c r="G1066" s="34">
        <v>45624</v>
      </c>
      <c r="H1066" s="34" t="b">
        <f t="shared" si="36"/>
        <v>1</v>
      </c>
    </row>
    <row r="1067" spans="4:8" ht="29.25" customHeight="1" x14ac:dyDescent="0.3">
      <c r="D1067" s="34">
        <v>45625</v>
      </c>
      <c r="E1067">
        <f t="shared" si="35"/>
        <v>19232</v>
      </c>
      <c r="G1067" s="34">
        <v>45625</v>
      </c>
      <c r="H1067" s="34" t="b">
        <f t="shared" si="36"/>
        <v>1</v>
      </c>
    </row>
    <row r="1068" spans="4:8" ht="29.25" customHeight="1" x14ac:dyDescent="0.3">
      <c r="D1068" s="34">
        <v>45628</v>
      </c>
      <c r="E1068">
        <f t="shared" si="35"/>
        <v>19232</v>
      </c>
      <c r="G1068" s="34">
        <v>45628</v>
      </c>
      <c r="H1068" s="34" t="b">
        <f t="shared" si="36"/>
        <v>1</v>
      </c>
    </row>
    <row r="1069" spans="4:8" ht="29.25" customHeight="1" x14ac:dyDescent="0.3">
      <c r="D1069" s="34">
        <v>45629</v>
      </c>
      <c r="E1069">
        <f t="shared" si="35"/>
        <v>19232</v>
      </c>
      <c r="G1069" s="34">
        <v>45629</v>
      </c>
      <c r="H1069" s="34" t="b">
        <f t="shared" si="36"/>
        <v>1</v>
      </c>
    </row>
    <row r="1070" spans="4:8" ht="29.25" customHeight="1" x14ac:dyDescent="0.3">
      <c r="D1070" s="34">
        <v>45630</v>
      </c>
      <c r="E1070">
        <f t="shared" si="35"/>
        <v>18788</v>
      </c>
      <c r="G1070" s="34">
        <v>45630</v>
      </c>
      <c r="H1070" s="34" t="b">
        <f t="shared" si="36"/>
        <v>1</v>
      </c>
    </row>
    <row r="1071" spans="4:8" ht="29.25" customHeight="1" x14ac:dyDescent="0.3">
      <c r="D1071" s="34">
        <v>45631</v>
      </c>
      <c r="E1071">
        <f t="shared" si="35"/>
        <v>18788</v>
      </c>
      <c r="G1071" s="34">
        <v>45631</v>
      </c>
      <c r="H1071" s="34" t="b">
        <f t="shared" si="36"/>
        <v>1</v>
      </c>
    </row>
    <row r="1072" spans="4:8" ht="29.25" customHeight="1" x14ac:dyDescent="0.3">
      <c r="D1072" s="34">
        <v>45632</v>
      </c>
      <c r="E1072">
        <f t="shared" si="35"/>
        <v>18788</v>
      </c>
      <c r="G1072" s="34">
        <v>45632</v>
      </c>
      <c r="H1072" s="34" t="b">
        <f t="shared" si="36"/>
        <v>1</v>
      </c>
    </row>
    <row r="1073" spans="4:8" ht="29.25" customHeight="1" x14ac:dyDescent="0.3">
      <c r="D1073" s="34">
        <v>45635</v>
      </c>
      <c r="E1073">
        <f t="shared" si="35"/>
        <v>18788</v>
      </c>
      <c r="G1073" s="34">
        <v>45635</v>
      </c>
      <c r="H1073" s="34" t="b">
        <f t="shared" si="36"/>
        <v>1</v>
      </c>
    </row>
    <row r="1074" spans="4:8" ht="29.25" customHeight="1" x14ac:dyDescent="0.3">
      <c r="D1074" s="34">
        <v>45636</v>
      </c>
      <c r="E1074">
        <f t="shared" si="35"/>
        <v>18788</v>
      </c>
      <c r="G1074" s="34">
        <v>45636</v>
      </c>
      <c r="H1074" s="34" t="b">
        <f t="shared" si="36"/>
        <v>1</v>
      </c>
    </row>
    <row r="1075" spans="4:8" ht="29.25" customHeight="1" x14ac:dyDescent="0.3">
      <c r="D1075" s="34">
        <v>45637</v>
      </c>
      <c r="E1075">
        <f t="shared" si="35"/>
        <v>17921</v>
      </c>
      <c r="G1075" s="34">
        <v>45637</v>
      </c>
      <c r="H1075" s="34" t="b">
        <f t="shared" si="36"/>
        <v>1</v>
      </c>
    </row>
    <row r="1076" spans="4:8" ht="29.25" customHeight="1" x14ac:dyDescent="0.3">
      <c r="D1076" s="34">
        <v>45638</v>
      </c>
      <c r="E1076">
        <f t="shared" si="35"/>
        <v>17921</v>
      </c>
      <c r="G1076" s="34">
        <v>45638</v>
      </c>
      <c r="H1076" s="34" t="b">
        <f t="shared" si="36"/>
        <v>1</v>
      </c>
    </row>
    <row r="1077" spans="4:8" ht="29.25" customHeight="1" x14ac:dyDescent="0.3">
      <c r="D1077" s="34">
        <v>45639</v>
      </c>
      <c r="E1077">
        <f t="shared" si="35"/>
        <v>17921</v>
      </c>
      <c r="G1077" s="34">
        <v>45639</v>
      </c>
      <c r="H1077" s="34" t="b">
        <f t="shared" si="36"/>
        <v>1</v>
      </c>
    </row>
    <row r="1078" spans="4:8" ht="29.25" customHeight="1" x14ac:dyDescent="0.3">
      <c r="D1078" s="34">
        <v>45642</v>
      </c>
      <c r="E1078">
        <f t="shared" si="35"/>
        <v>17921</v>
      </c>
      <c r="G1078" s="34">
        <v>45642</v>
      </c>
      <c r="H1078" s="34" t="b">
        <f t="shared" si="36"/>
        <v>1</v>
      </c>
    </row>
    <row r="1079" spans="4:8" ht="29.25" customHeight="1" x14ac:dyDescent="0.3">
      <c r="D1079" s="34">
        <v>45643</v>
      </c>
      <c r="E1079">
        <f t="shared" si="35"/>
        <v>17921</v>
      </c>
      <c r="G1079" s="34">
        <v>45643</v>
      </c>
      <c r="H1079" s="34" t="b">
        <f t="shared" si="36"/>
        <v>1</v>
      </c>
    </row>
    <row r="1080" spans="4:8" ht="29.25" customHeight="1" x14ac:dyDescent="0.3">
      <c r="D1080" s="34">
        <v>45644</v>
      </c>
      <c r="E1080">
        <f t="shared" si="35"/>
        <v>28967</v>
      </c>
      <c r="G1080" s="34">
        <v>45644</v>
      </c>
      <c r="H1080" s="34" t="b">
        <f t="shared" si="36"/>
        <v>1</v>
      </c>
    </row>
    <row r="1081" spans="4:8" ht="29.25" customHeight="1" x14ac:dyDescent="0.3">
      <c r="D1081" s="34">
        <v>45645</v>
      </c>
      <c r="E1081">
        <f t="shared" si="35"/>
        <v>28967</v>
      </c>
      <c r="G1081" s="34">
        <v>45645</v>
      </c>
      <c r="H1081" s="34" t="b">
        <f t="shared" si="36"/>
        <v>1</v>
      </c>
    </row>
    <row r="1082" spans="4:8" ht="29.25" customHeight="1" x14ac:dyDescent="0.3">
      <c r="D1082" s="34">
        <v>45646</v>
      </c>
      <c r="E1082">
        <f t="shared" si="35"/>
        <v>28967</v>
      </c>
      <c r="G1082" s="34">
        <v>45646</v>
      </c>
      <c r="H1082" s="34" t="b">
        <f t="shared" si="36"/>
        <v>1</v>
      </c>
    </row>
    <row r="1083" spans="4:8" ht="29.25" customHeight="1" x14ac:dyDescent="0.3">
      <c r="D1083" s="34">
        <v>45649</v>
      </c>
      <c r="E1083">
        <f t="shared" si="35"/>
        <v>28967</v>
      </c>
      <c r="G1083" s="34">
        <v>45649</v>
      </c>
      <c r="H1083" s="34" t="b">
        <f t="shared" si="36"/>
        <v>1</v>
      </c>
    </row>
    <row r="1084" spans="4:8" ht="29.25" customHeight="1" x14ac:dyDescent="0.3">
      <c r="D1084" s="34">
        <v>45650</v>
      </c>
      <c r="E1084">
        <f t="shared" si="35"/>
        <v>28967</v>
      </c>
      <c r="G1084" s="34">
        <v>45650</v>
      </c>
      <c r="H1084" s="34" t="b">
        <f t="shared" si="36"/>
        <v>1</v>
      </c>
    </row>
    <row r="1085" spans="4:8" ht="29.25" customHeight="1" x14ac:dyDescent="0.3">
      <c r="D1085" s="34">
        <v>45652</v>
      </c>
      <c r="E1085">
        <f t="shared" si="35"/>
        <v>21818</v>
      </c>
      <c r="G1085" s="34">
        <v>45652</v>
      </c>
      <c r="H1085" s="34" t="b">
        <f t="shared" si="36"/>
        <v>1</v>
      </c>
    </row>
    <row r="1086" spans="4:8" ht="29.25" customHeight="1" x14ac:dyDescent="0.3">
      <c r="D1086" s="34">
        <v>45653</v>
      </c>
      <c r="E1086">
        <f t="shared" si="35"/>
        <v>21818</v>
      </c>
      <c r="G1086" s="34">
        <v>45653</v>
      </c>
      <c r="H1086" s="34" t="b">
        <f t="shared" si="36"/>
        <v>1</v>
      </c>
    </row>
    <row r="1087" spans="4:8" ht="29.25" customHeight="1" x14ac:dyDescent="0.3">
      <c r="D1087" s="34">
        <v>45656</v>
      </c>
      <c r="E1087">
        <f t="shared" si="35"/>
        <v>21818</v>
      </c>
      <c r="G1087" s="34">
        <v>45656</v>
      </c>
      <c r="H1087" s="34" t="b">
        <f t="shared" si="36"/>
        <v>1</v>
      </c>
    </row>
    <row r="1088" spans="4:8" ht="29.25" customHeight="1" x14ac:dyDescent="0.3">
      <c r="D1088" s="34">
        <v>45657</v>
      </c>
      <c r="E1088">
        <f t="shared" si="35"/>
        <v>21818</v>
      </c>
      <c r="G1088" s="34">
        <v>45657</v>
      </c>
      <c r="H1088" s="34" t="b">
        <f t="shared" si="36"/>
        <v>1</v>
      </c>
    </row>
    <row r="1089" spans="4:8" ht="29.25" customHeight="1" x14ac:dyDescent="0.3">
      <c r="D1089" s="34">
        <v>45659</v>
      </c>
      <c r="E1089">
        <f t="shared" si="35"/>
        <v>20957</v>
      </c>
      <c r="G1089" s="34">
        <v>45659</v>
      </c>
      <c r="H1089" s="34" t="b">
        <f t="shared" si="36"/>
        <v>1</v>
      </c>
    </row>
    <row r="1090" spans="4:8" ht="29.25" customHeight="1" x14ac:dyDescent="0.3">
      <c r="D1090" s="34">
        <v>45660</v>
      </c>
      <c r="E1090">
        <f t="shared" si="35"/>
        <v>20957</v>
      </c>
      <c r="G1090" s="34">
        <v>45660</v>
      </c>
      <c r="H1090" s="34" t="b">
        <f t="shared" si="36"/>
        <v>1</v>
      </c>
    </row>
    <row r="1091" spans="4:8" ht="29.25" customHeight="1" x14ac:dyDescent="0.3">
      <c r="D1091" s="34">
        <v>45663</v>
      </c>
      <c r="E1091">
        <f t="shared" ref="E1091:E1154" si="37">LOOKUP(D1091,A:A,B:B)</f>
        <v>20957</v>
      </c>
      <c r="G1091" s="34">
        <v>45663</v>
      </c>
      <c r="H1091" s="34" t="b">
        <f t="shared" ref="H1091:H1154" si="38">G1091=D1091</f>
        <v>1</v>
      </c>
    </row>
    <row r="1092" spans="4:8" ht="29.25" customHeight="1" x14ac:dyDescent="0.3">
      <c r="D1092" s="34">
        <v>45664</v>
      </c>
      <c r="E1092">
        <f t="shared" si="37"/>
        <v>20957</v>
      </c>
      <c r="G1092" s="34">
        <v>45664</v>
      </c>
      <c r="H1092" s="34" t="b">
        <f t="shared" si="38"/>
        <v>1</v>
      </c>
    </row>
    <row r="1093" spans="4:8" ht="29.25" customHeight="1" x14ac:dyDescent="0.3">
      <c r="D1093" s="34">
        <v>45665</v>
      </c>
      <c r="E1093">
        <f t="shared" si="37"/>
        <v>21104</v>
      </c>
      <c r="G1093" s="34">
        <v>45665</v>
      </c>
      <c r="H1093" s="34" t="b">
        <f t="shared" si="38"/>
        <v>1</v>
      </c>
    </row>
    <row r="1094" spans="4:8" ht="29.25" customHeight="1" x14ac:dyDescent="0.3">
      <c r="D1094" s="34">
        <v>45666</v>
      </c>
      <c r="E1094">
        <f t="shared" si="37"/>
        <v>21104</v>
      </c>
      <c r="G1094" s="34">
        <v>45666</v>
      </c>
      <c r="H1094" s="34" t="b">
        <f t="shared" si="38"/>
        <v>1</v>
      </c>
    </row>
    <row r="1095" spans="4:8" ht="29.25" customHeight="1" x14ac:dyDescent="0.3">
      <c r="D1095" s="34">
        <v>45667</v>
      </c>
      <c r="E1095">
        <f t="shared" si="37"/>
        <v>21104</v>
      </c>
      <c r="G1095" s="34">
        <v>45667</v>
      </c>
      <c r="H1095" s="34" t="b">
        <f t="shared" si="38"/>
        <v>1</v>
      </c>
    </row>
    <row r="1096" spans="4:8" ht="29.25" customHeight="1" x14ac:dyDescent="0.3">
      <c r="D1096" s="34">
        <v>45670</v>
      </c>
      <c r="E1096">
        <f t="shared" si="37"/>
        <v>21104</v>
      </c>
      <c r="G1096" s="34">
        <v>45670</v>
      </c>
      <c r="H1096" s="34" t="b">
        <f t="shared" si="38"/>
        <v>1</v>
      </c>
    </row>
    <row r="1097" spans="4:8" ht="29.25" customHeight="1" x14ac:dyDescent="0.3">
      <c r="D1097" s="34">
        <v>45671</v>
      </c>
      <c r="E1097">
        <f t="shared" si="37"/>
        <v>21104</v>
      </c>
      <c r="G1097" s="34">
        <v>45671</v>
      </c>
      <c r="H1097" s="34" t="b">
        <f t="shared" si="38"/>
        <v>1</v>
      </c>
    </row>
    <row r="1098" spans="4:8" ht="29.25" customHeight="1" x14ac:dyDescent="0.3">
      <c r="D1098" s="34">
        <v>45672</v>
      </c>
      <c r="E1098">
        <f t="shared" si="37"/>
        <v>20745</v>
      </c>
      <c r="G1098" s="34">
        <v>45672</v>
      </c>
      <c r="H1098" s="34" t="b">
        <f t="shared" si="38"/>
        <v>1</v>
      </c>
    </row>
    <row r="1099" spans="4:8" ht="29.25" customHeight="1" x14ac:dyDescent="0.3">
      <c r="D1099" s="34">
        <v>45673</v>
      </c>
      <c r="E1099">
        <f t="shared" si="37"/>
        <v>20745</v>
      </c>
      <c r="G1099" s="34">
        <v>45673</v>
      </c>
      <c r="H1099" s="34" t="b">
        <f t="shared" si="38"/>
        <v>1</v>
      </c>
    </row>
    <row r="1100" spans="4:8" ht="29.25" customHeight="1" x14ac:dyDescent="0.3">
      <c r="D1100" s="34">
        <v>45674</v>
      </c>
      <c r="E1100">
        <f t="shared" si="37"/>
        <v>20745</v>
      </c>
      <c r="G1100" s="34">
        <v>45674</v>
      </c>
      <c r="H1100" s="34" t="b">
        <f t="shared" si="38"/>
        <v>1</v>
      </c>
    </row>
    <row r="1101" spans="4:8" ht="29.25" customHeight="1" x14ac:dyDescent="0.3">
      <c r="D1101" s="34">
        <v>45677</v>
      </c>
      <c r="E1101">
        <f t="shared" si="37"/>
        <v>20745</v>
      </c>
      <c r="G1101" s="34">
        <v>45677</v>
      </c>
      <c r="H1101" s="34" t="b">
        <f t="shared" si="38"/>
        <v>1</v>
      </c>
    </row>
    <row r="1102" spans="4:8" ht="29.25" customHeight="1" x14ac:dyDescent="0.3">
      <c r="D1102" s="34">
        <v>45678</v>
      </c>
      <c r="E1102">
        <f t="shared" si="37"/>
        <v>20745</v>
      </c>
      <c r="G1102" s="34">
        <v>45678</v>
      </c>
      <c r="H1102" s="34" t="b">
        <f t="shared" si="38"/>
        <v>1</v>
      </c>
    </row>
    <row r="1103" spans="4:8" ht="29.25" customHeight="1" x14ac:dyDescent="0.3">
      <c r="D1103" s="34">
        <v>45679</v>
      </c>
      <c r="E1103">
        <f t="shared" si="37"/>
        <v>21107</v>
      </c>
      <c r="G1103" s="34">
        <v>45679</v>
      </c>
      <c r="H1103" s="34" t="b">
        <f t="shared" si="38"/>
        <v>1</v>
      </c>
    </row>
    <row r="1104" spans="4:8" ht="29.25" customHeight="1" x14ac:dyDescent="0.3">
      <c r="D1104" s="34">
        <v>45680</v>
      </c>
      <c r="E1104">
        <f t="shared" si="37"/>
        <v>21107</v>
      </c>
      <c r="G1104" s="34">
        <v>45680</v>
      </c>
      <c r="H1104" s="34" t="b">
        <f t="shared" si="38"/>
        <v>1</v>
      </c>
    </row>
    <row r="1105" spans="4:8" ht="29.25" customHeight="1" x14ac:dyDescent="0.3">
      <c r="D1105" s="34">
        <v>45681</v>
      </c>
      <c r="E1105">
        <f t="shared" si="37"/>
        <v>21107</v>
      </c>
      <c r="G1105" s="34">
        <v>45681</v>
      </c>
      <c r="H1105" s="34" t="b">
        <f t="shared" si="38"/>
        <v>1</v>
      </c>
    </row>
    <row r="1106" spans="4:8" ht="29.25" customHeight="1" x14ac:dyDescent="0.3">
      <c r="D1106" s="34">
        <v>45684</v>
      </c>
      <c r="E1106">
        <f t="shared" si="37"/>
        <v>21107</v>
      </c>
      <c r="G1106" s="34">
        <v>45684</v>
      </c>
      <c r="H1106" s="34" t="b">
        <f t="shared" si="38"/>
        <v>1</v>
      </c>
    </row>
    <row r="1107" spans="4:8" ht="29.25" customHeight="1" x14ac:dyDescent="0.3">
      <c r="D1107" s="34">
        <v>45685</v>
      </c>
      <c r="E1107">
        <f t="shared" si="37"/>
        <v>21107</v>
      </c>
      <c r="G1107" s="34">
        <v>45685</v>
      </c>
      <c r="H1107" s="34" t="b">
        <f t="shared" si="38"/>
        <v>1</v>
      </c>
    </row>
    <row r="1108" spans="4:8" ht="29.25" customHeight="1" x14ac:dyDescent="0.3">
      <c r="D1108" s="34">
        <v>45686</v>
      </c>
      <c r="E1108">
        <f t="shared" si="37"/>
        <v>18143</v>
      </c>
      <c r="G1108" s="34">
        <v>45686</v>
      </c>
      <c r="H1108" s="34" t="b">
        <f t="shared" si="38"/>
        <v>1</v>
      </c>
    </row>
    <row r="1109" spans="4:8" ht="29.25" customHeight="1" x14ac:dyDescent="0.3">
      <c r="D1109" s="34">
        <v>45687</v>
      </c>
      <c r="E1109">
        <f t="shared" si="37"/>
        <v>18143</v>
      </c>
      <c r="G1109" s="34">
        <v>45687</v>
      </c>
      <c r="H1109" s="34" t="b">
        <f t="shared" si="38"/>
        <v>1</v>
      </c>
    </row>
    <row r="1110" spans="4:8" ht="29.25" customHeight="1" x14ac:dyDescent="0.3">
      <c r="D1110" s="34">
        <v>45688</v>
      </c>
      <c r="E1110">
        <f t="shared" si="37"/>
        <v>18143</v>
      </c>
      <c r="G1110" s="34">
        <v>45688</v>
      </c>
      <c r="H1110" s="34" t="b">
        <f t="shared" si="38"/>
        <v>1</v>
      </c>
    </row>
    <row r="1111" spans="4:8" ht="29.25" customHeight="1" x14ac:dyDescent="0.3">
      <c r="D1111" s="34">
        <v>45691</v>
      </c>
      <c r="E1111">
        <f t="shared" si="37"/>
        <v>18143</v>
      </c>
      <c r="G1111" s="34">
        <v>45691</v>
      </c>
      <c r="H1111" s="34" t="b">
        <f t="shared" si="38"/>
        <v>1</v>
      </c>
    </row>
    <row r="1112" spans="4:8" ht="29.25" customHeight="1" x14ac:dyDescent="0.3">
      <c r="D1112" s="34">
        <v>45692</v>
      </c>
      <c r="E1112">
        <f t="shared" si="37"/>
        <v>18143</v>
      </c>
      <c r="G1112" s="34">
        <v>45692</v>
      </c>
      <c r="H1112" s="34" t="b">
        <f t="shared" si="38"/>
        <v>1</v>
      </c>
    </row>
    <row r="1113" spans="4:8" ht="29.25" customHeight="1" x14ac:dyDescent="0.3">
      <c r="D1113" s="34">
        <v>45693</v>
      </c>
      <c r="E1113">
        <f t="shared" si="37"/>
        <v>19245</v>
      </c>
      <c r="G1113" s="34">
        <v>45693</v>
      </c>
      <c r="H1113" s="34" t="b">
        <f t="shared" si="38"/>
        <v>1</v>
      </c>
    </row>
    <row r="1114" spans="4:8" ht="29.25" customHeight="1" x14ac:dyDescent="0.3">
      <c r="D1114" s="34">
        <v>45694</v>
      </c>
      <c r="E1114">
        <f t="shared" si="37"/>
        <v>19245</v>
      </c>
      <c r="G1114" s="34">
        <v>45694</v>
      </c>
      <c r="H1114" s="34" t="b">
        <f t="shared" si="38"/>
        <v>1</v>
      </c>
    </row>
    <row r="1115" spans="4:8" ht="29.25" customHeight="1" x14ac:dyDescent="0.3">
      <c r="D1115" s="34">
        <v>45695</v>
      </c>
      <c r="E1115">
        <f t="shared" si="37"/>
        <v>19245</v>
      </c>
      <c r="G1115" s="34">
        <v>45695</v>
      </c>
      <c r="H1115" s="34" t="b">
        <f t="shared" si="38"/>
        <v>1</v>
      </c>
    </row>
    <row r="1116" spans="4:8" ht="29.25" customHeight="1" x14ac:dyDescent="0.3">
      <c r="D1116" s="34">
        <v>45698</v>
      </c>
      <c r="E1116">
        <f t="shared" si="37"/>
        <v>19245</v>
      </c>
      <c r="G1116" s="34">
        <v>45698</v>
      </c>
      <c r="H1116" s="34" t="b">
        <f t="shared" si="38"/>
        <v>1</v>
      </c>
    </row>
    <row r="1117" spans="4:8" ht="29.25" customHeight="1" x14ac:dyDescent="0.3">
      <c r="D1117" s="34">
        <v>45699</v>
      </c>
      <c r="E1117">
        <f t="shared" si="37"/>
        <v>19245</v>
      </c>
      <c r="G1117" s="34">
        <v>45699</v>
      </c>
      <c r="H1117" s="34" t="b">
        <f t="shared" si="38"/>
        <v>1</v>
      </c>
    </row>
    <row r="1118" spans="4:8" ht="29.25" customHeight="1" x14ac:dyDescent="0.3">
      <c r="D1118" s="34">
        <v>45700</v>
      </c>
      <c r="E1118">
        <f t="shared" si="37"/>
        <v>20080</v>
      </c>
      <c r="G1118" s="34">
        <v>45700</v>
      </c>
      <c r="H1118" s="34" t="b">
        <f t="shared" si="38"/>
        <v>1</v>
      </c>
    </row>
    <row r="1119" spans="4:8" ht="29.25" customHeight="1" x14ac:dyDescent="0.3">
      <c r="D1119" s="34">
        <v>45701</v>
      </c>
      <c r="E1119">
        <f t="shared" si="37"/>
        <v>20080</v>
      </c>
      <c r="G1119" s="34">
        <v>45701</v>
      </c>
      <c r="H1119" s="34" t="b">
        <f t="shared" si="38"/>
        <v>1</v>
      </c>
    </row>
    <row r="1120" spans="4:8" ht="29.25" customHeight="1" x14ac:dyDescent="0.3">
      <c r="D1120" s="34">
        <v>45702</v>
      </c>
      <c r="E1120">
        <f t="shared" si="37"/>
        <v>20080</v>
      </c>
      <c r="G1120" s="34">
        <v>45702</v>
      </c>
      <c r="H1120" s="34" t="b">
        <f t="shared" si="38"/>
        <v>1</v>
      </c>
    </row>
    <row r="1121" spans="4:8" ht="29.25" customHeight="1" x14ac:dyDescent="0.3">
      <c r="D1121" s="34">
        <v>45705</v>
      </c>
      <c r="E1121">
        <f t="shared" si="37"/>
        <v>20080</v>
      </c>
      <c r="G1121" s="34">
        <v>45705</v>
      </c>
      <c r="H1121" s="34" t="b">
        <f t="shared" si="38"/>
        <v>1</v>
      </c>
    </row>
    <row r="1122" spans="4:8" ht="29.25" customHeight="1" x14ac:dyDescent="0.3">
      <c r="D1122" s="34">
        <v>45706</v>
      </c>
      <c r="E1122">
        <f t="shared" si="37"/>
        <v>20080</v>
      </c>
      <c r="G1122" s="34">
        <v>45706</v>
      </c>
      <c r="H1122" s="34" t="b">
        <f t="shared" si="38"/>
        <v>1</v>
      </c>
    </row>
    <row r="1123" spans="4:8" ht="29.25" customHeight="1" x14ac:dyDescent="0.3">
      <c r="D1123" s="34">
        <v>45707</v>
      </c>
      <c r="E1123">
        <f t="shared" si="37"/>
        <v>18911</v>
      </c>
      <c r="G1123" s="34">
        <v>45707</v>
      </c>
      <c r="H1123" s="34" t="b">
        <f t="shared" si="38"/>
        <v>1</v>
      </c>
    </row>
    <row r="1124" spans="4:8" ht="29.25" customHeight="1" x14ac:dyDescent="0.3">
      <c r="D1124" s="34">
        <v>45708</v>
      </c>
      <c r="E1124">
        <f t="shared" si="37"/>
        <v>18911</v>
      </c>
      <c r="G1124" s="34">
        <v>45708</v>
      </c>
      <c r="H1124" s="34" t="b">
        <f t="shared" si="38"/>
        <v>1</v>
      </c>
    </row>
    <row r="1125" spans="4:8" ht="29.25" customHeight="1" x14ac:dyDescent="0.3">
      <c r="D1125" s="34">
        <v>45709</v>
      </c>
      <c r="E1125">
        <f t="shared" si="37"/>
        <v>18911</v>
      </c>
      <c r="G1125" s="34">
        <v>45709</v>
      </c>
      <c r="H1125" s="34" t="b">
        <f t="shared" si="38"/>
        <v>1</v>
      </c>
    </row>
    <row r="1126" spans="4:8" ht="29.25" customHeight="1" x14ac:dyDescent="0.3">
      <c r="D1126" s="34">
        <v>45712</v>
      </c>
      <c r="E1126">
        <f t="shared" si="37"/>
        <v>18911</v>
      </c>
      <c r="G1126" s="34">
        <v>45712</v>
      </c>
      <c r="H1126" s="34" t="b">
        <f t="shared" si="38"/>
        <v>1</v>
      </c>
    </row>
    <row r="1127" spans="4:8" ht="29.25" customHeight="1" x14ac:dyDescent="0.3">
      <c r="D1127" s="34">
        <v>45713</v>
      </c>
      <c r="E1127">
        <f t="shared" si="37"/>
        <v>18911</v>
      </c>
      <c r="G1127" s="34">
        <v>45713</v>
      </c>
      <c r="H1127" s="34" t="b">
        <f t="shared" si="38"/>
        <v>1</v>
      </c>
    </row>
    <row r="1128" spans="4:8" ht="29.25" customHeight="1" x14ac:dyDescent="0.3">
      <c r="D1128" s="34">
        <v>45714</v>
      </c>
      <c r="E1128">
        <f t="shared" si="37"/>
        <v>17547</v>
      </c>
      <c r="G1128" s="34">
        <v>45714</v>
      </c>
      <c r="H1128" s="34" t="b">
        <f t="shared" si="38"/>
        <v>1</v>
      </c>
    </row>
    <row r="1129" spans="4:8" ht="29.25" customHeight="1" x14ac:dyDescent="0.3">
      <c r="D1129" s="34">
        <v>45715</v>
      </c>
      <c r="E1129">
        <f t="shared" si="37"/>
        <v>17547</v>
      </c>
      <c r="G1129" s="34">
        <v>45715</v>
      </c>
      <c r="H1129" s="34" t="b">
        <f t="shared" si="38"/>
        <v>1</v>
      </c>
    </row>
    <row r="1130" spans="4:8" ht="29.25" customHeight="1" x14ac:dyDescent="0.3">
      <c r="D1130" s="34">
        <v>45716</v>
      </c>
      <c r="E1130">
        <f t="shared" si="37"/>
        <v>17547</v>
      </c>
      <c r="G1130" s="34">
        <v>45716</v>
      </c>
      <c r="H1130" s="34" t="b">
        <f t="shared" si="38"/>
        <v>1</v>
      </c>
    </row>
    <row r="1131" spans="4:8" ht="29.25" customHeight="1" x14ac:dyDescent="0.3">
      <c r="D1131" s="34">
        <v>45719</v>
      </c>
      <c r="E1131">
        <f t="shared" si="37"/>
        <v>17547</v>
      </c>
      <c r="G1131" s="34">
        <v>45719</v>
      </c>
      <c r="H1131" s="34" t="b">
        <f t="shared" si="38"/>
        <v>1</v>
      </c>
    </row>
    <row r="1132" spans="4:8" ht="29.25" customHeight="1" x14ac:dyDescent="0.3">
      <c r="D1132" s="34">
        <v>45720</v>
      </c>
      <c r="E1132">
        <f t="shared" si="37"/>
        <v>17547</v>
      </c>
      <c r="G1132" s="34">
        <v>45720</v>
      </c>
      <c r="H1132" s="34" t="b">
        <f t="shared" si="38"/>
        <v>1</v>
      </c>
    </row>
    <row r="1133" spans="4:8" ht="29.25" customHeight="1" x14ac:dyDescent="0.3">
      <c r="D1133" s="34">
        <v>45721</v>
      </c>
      <c r="E1133">
        <f t="shared" si="37"/>
        <v>15466</v>
      </c>
      <c r="G1133" s="34">
        <v>45721</v>
      </c>
      <c r="H1133" s="34" t="b">
        <f t="shared" si="38"/>
        <v>1</v>
      </c>
    </row>
    <row r="1134" spans="4:8" ht="29.25" customHeight="1" x14ac:dyDescent="0.3">
      <c r="D1134" s="34">
        <v>45722</v>
      </c>
      <c r="E1134">
        <f t="shared" si="37"/>
        <v>15466</v>
      </c>
      <c r="G1134" s="34">
        <v>45722</v>
      </c>
      <c r="H1134" s="34" t="b">
        <f t="shared" si="38"/>
        <v>1</v>
      </c>
    </row>
    <row r="1135" spans="4:8" ht="29.25" customHeight="1" x14ac:dyDescent="0.3">
      <c r="D1135" s="34">
        <v>45723</v>
      </c>
      <c r="E1135">
        <f t="shared" si="37"/>
        <v>15466</v>
      </c>
      <c r="G1135" s="34">
        <v>45723</v>
      </c>
      <c r="H1135" s="34" t="b">
        <f t="shared" si="38"/>
        <v>1</v>
      </c>
    </row>
    <row r="1136" spans="4:8" ht="29.25" customHeight="1" x14ac:dyDescent="0.3">
      <c r="D1136" s="34">
        <v>45726</v>
      </c>
      <c r="E1136">
        <f t="shared" si="37"/>
        <v>15466</v>
      </c>
      <c r="G1136" s="34">
        <v>45726</v>
      </c>
      <c r="H1136" s="34" t="b">
        <f t="shared" si="38"/>
        <v>1</v>
      </c>
    </row>
    <row r="1137" spans="4:8" ht="29.25" customHeight="1" x14ac:dyDescent="0.3">
      <c r="D1137" s="34">
        <v>45727</v>
      </c>
      <c r="E1137">
        <f t="shared" si="37"/>
        <v>15466</v>
      </c>
      <c r="G1137" s="34">
        <v>45727</v>
      </c>
      <c r="H1137" s="34" t="b">
        <f t="shared" si="38"/>
        <v>1</v>
      </c>
    </row>
    <row r="1138" spans="4:8" ht="29.25" customHeight="1" x14ac:dyDescent="0.3">
      <c r="D1138" s="34">
        <v>45728</v>
      </c>
      <c r="E1138">
        <f t="shared" si="37"/>
        <v>17918</v>
      </c>
      <c r="G1138" s="34">
        <v>45728</v>
      </c>
      <c r="H1138" s="34" t="b">
        <f t="shared" si="38"/>
        <v>1</v>
      </c>
    </row>
    <row r="1139" spans="4:8" ht="29.25" customHeight="1" x14ac:dyDescent="0.3">
      <c r="D1139" s="34">
        <v>45729</v>
      </c>
      <c r="E1139">
        <f t="shared" si="37"/>
        <v>17918</v>
      </c>
      <c r="G1139" s="34">
        <v>45729</v>
      </c>
      <c r="H1139" s="34" t="b">
        <f t="shared" si="38"/>
        <v>1</v>
      </c>
    </row>
    <row r="1140" spans="4:8" ht="29.25" customHeight="1" x14ac:dyDescent="0.3">
      <c r="D1140" s="34">
        <v>45730</v>
      </c>
      <c r="E1140">
        <f t="shared" si="37"/>
        <v>17918</v>
      </c>
      <c r="G1140" s="34">
        <v>45730</v>
      </c>
      <c r="H1140" s="34" t="b">
        <f t="shared" si="38"/>
        <v>1</v>
      </c>
    </row>
    <row r="1141" spans="4:8" ht="29.25" customHeight="1" x14ac:dyDescent="0.3">
      <c r="D1141" s="34">
        <v>45733</v>
      </c>
      <c r="E1141">
        <f t="shared" si="37"/>
        <v>17918</v>
      </c>
      <c r="G1141" s="34">
        <v>45733</v>
      </c>
      <c r="H1141" s="34" t="b">
        <f t="shared" si="38"/>
        <v>1</v>
      </c>
    </row>
    <row r="1142" spans="4:8" ht="29.25" customHeight="1" x14ac:dyDescent="0.3">
      <c r="D1142" s="34">
        <v>45734</v>
      </c>
      <c r="E1142">
        <f t="shared" si="37"/>
        <v>17918</v>
      </c>
      <c r="G1142" s="34">
        <v>45734</v>
      </c>
      <c r="H1142" s="34" t="b">
        <f t="shared" si="38"/>
        <v>1</v>
      </c>
    </row>
    <row r="1143" spans="4:8" ht="29.25" customHeight="1" x14ac:dyDescent="0.3">
      <c r="D1143" s="34">
        <v>45735</v>
      </c>
      <c r="E1143">
        <f t="shared" si="37"/>
        <v>19618</v>
      </c>
      <c r="G1143" s="34">
        <v>45735</v>
      </c>
      <c r="H1143" s="34" t="b">
        <f t="shared" si="38"/>
        <v>1</v>
      </c>
    </row>
    <row r="1144" spans="4:8" ht="29.25" customHeight="1" x14ac:dyDescent="0.3">
      <c r="D1144" s="34">
        <v>45736</v>
      </c>
      <c r="E1144">
        <f t="shared" si="37"/>
        <v>19618</v>
      </c>
      <c r="G1144" s="34">
        <v>45736</v>
      </c>
      <c r="H1144" s="34" t="b">
        <f t="shared" si="38"/>
        <v>1</v>
      </c>
    </row>
    <row r="1145" spans="4:8" ht="29.25" customHeight="1" x14ac:dyDescent="0.3">
      <c r="D1145" s="34">
        <v>45737</v>
      </c>
      <c r="E1145">
        <f t="shared" si="37"/>
        <v>19618</v>
      </c>
      <c r="G1145" s="34">
        <v>45737</v>
      </c>
      <c r="H1145" s="34" t="b">
        <f t="shared" si="38"/>
        <v>1</v>
      </c>
    </row>
    <row r="1146" spans="4:8" ht="29.25" customHeight="1" x14ac:dyDescent="0.3">
      <c r="D1146" s="34">
        <v>45740</v>
      </c>
      <c r="E1146">
        <f t="shared" si="37"/>
        <v>19618</v>
      </c>
      <c r="G1146" s="34">
        <v>45740</v>
      </c>
      <c r="H1146" s="34" t="b">
        <f t="shared" si="38"/>
        <v>1</v>
      </c>
    </row>
    <row r="1147" spans="4:8" ht="29.25" customHeight="1" x14ac:dyDescent="0.3">
      <c r="D1147" s="34">
        <v>45741</v>
      </c>
      <c r="E1147">
        <f t="shared" si="37"/>
        <v>19618</v>
      </c>
      <c r="G1147" s="34">
        <v>45741</v>
      </c>
      <c r="H1147" s="34" t="b">
        <f t="shared" si="38"/>
        <v>1</v>
      </c>
    </row>
    <row r="1148" spans="4:8" ht="29.25" customHeight="1" x14ac:dyDescent="0.3">
      <c r="D1148" s="34">
        <v>45742</v>
      </c>
      <c r="E1148">
        <f t="shared" si="37"/>
        <v>21708</v>
      </c>
      <c r="G1148" s="34">
        <v>45742</v>
      </c>
      <c r="H1148" s="34" t="b">
        <f t="shared" si="38"/>
        <v>1</v>
      </c>
    </row>
    <row r="1149" spans="4:8" ht="29.25" customHeight="1" x14ac:dyDescent="0.3">
      <c r="D1149" s="34">
        <v>45743</v>
      </c>
      <c r="E1149">
        <f t="shared" si="37"/>
        <v>21708</v>
      </c>
      <c r="G1149" s="34">
        <v>45743</v>
      </c>
      <c r="H1149" s="34" t="b">
        <f t="shared" si="38"/>
        <v>1</v>
      </c>
    </row>
    <row r="1150" spans="4:8" ht="29.25" customHeight="1" x14ac:dyDescent="0.3">
      <c r="D1150" s="34">
        <v>45744</v>
      </c>
      <c r="E1150">
        <f t="shared" si="37"/>
        <v>21708</v>
      </c>
      <c r="G1150" s="34">
        <v>45744</v>
      </c>
      <c r="H1150" s="34" t="b">
        <f t="shared" si="38"/>
        <v>1</v>
      </c>
    </row>
    <row r="1151" spans="4:8" ht="29.25" customHeight="1" x14ac:dyDescent="0.3">
      <c r="D1151" s="34">
        <v>45747</v>
      </c>
      <c r="E1151">
        <f t="shared" si="37"/>
        <v>21708</v>
      </c>
      <c r="G1151" s="34">
        <v>45747</v>
      </c>
      <c r="H1151" s="34" t="b">
        <f t="shared" si="38"/>
        <v>1</v>
      </c>
    </row>
    <row r="1152" spans="4:8" ht="29.25" customHeight="1" x14ac:dyDescent="0.3">
      <c r="D1152" s="34">
        <v>45748</v>
      </c>
      <c r="E1152">
        <f t="shared" si="37"/>
        <v>21708</v>
      </c>
      <c r="G1152" s="34">
        <v>45748</v>
      </c>
      <c r="H1152" s="34" t="b">
        <f t="shared" si="38"/>
        <v>1</v>
      </c>
    </row>
    <row r="1153" spans="4:8" ht="29.25" customHeight="1" x14ac:dyDescent="0.3">
      <c r="D1153" s="34">
        <v>45749</v>
      </c>
      <c r="E1153">
        <f t="shared" si="37"/>
        <v>21172</v>
      </c>
      <c r="G1153" s="34">
        <v>45749</v>
      </c>
      <c r="H1153" s="34" t="b">
        <f t="shared" si="38"/>
        <v>1</v>
      </c>
    </row>
    <row r="1154" spans="4:8" ht="29.25" customHeight="1" x14ac:dyDescent="0.3">
      <c r="D1154" s="34">
        <v>45750</v>
      </c>
      <c r="E1154">
        <f t="shared" si="37"/>
        <v>21172</v>
      </c>
      <c r="G1154" s="34">
        <v>45750</v>
      </c>
      <c r="H1154" s="34" t="b">
        <f t="shared" si="38"/>
        <v>1</v>
      </c>
    </row>
    <row r="1155" spans="4:8" ht="29.25" customHeight="1" x14ac:dyDescent="0.3">
      <c r="D1155" s="34">
        <v>45751</v>
      </c>
      <c r="E1155">
        <f t="shared" ref="E1155:E1218" si="39">LOOKUP(D1155,A:A,B:B)</f>
        <v>21172</v>
      </c>
      <c r="G1155" s="34">
        <v>45751</v>
      </c>
      <c r="H1155" s="34" t="b">
        <f t="shared" ref="H1155:H1218" si="40">G1155=D1155</f>
        <v>1</v>
      </c>
    </row>
    <row r="1156" spans="4:8" ht="29.25" customHeight="1" x14ac:dyDescent="0.3">
      <c r="D1156" s="34">
        <v>45754</v>
      </c>
      <c r="E1156">
        <f t="shared" si="39"/>
        <v>21172</v>
      </c>
      <c r="G1156" s="34">
        <v>45754</v>
      </c>
      <c r="H1156" s="34" t="b">
        <f t="shared" si="40"/>
        <v>1</v>
      </c>
    </row>
    <row r="1157" spans="4:8" ht="29.25" customHeight="1" x14ac:dyDescent="0.3">
      <c r="D1157" s="34">
        <v>45755</v>
      </c>
      <c r="E1157">
        <f t="shared" si="39"/>
        <v>21172</v>
      </c>
      <c r="G1157" s="34">
        <v>45755</v>
      </c>
      <c r="H1157" s="34" t="b">
        <f t="shared" si="40"/>
        <v>1</v>
      </c>
    </row>
    <row r="1158" spans="4:8" ht="29.25" customHeight="1" x14ac:dyDescent="0.3">
      <c r="D1158" s="34">
        <v>45756</v>
      </c>
      <c r="E1158">
        <f t="shared" si="39"/>
        <v>22021</v>
      </c>
      <c r="G1158" s="34">
        <v>45756</v>
      </c>
      <c r="H1158" s="34" t="b">
        <f t="shared" si="40"/>
        <v>1</v>
      </c>
    </row>
    <row r="1159" spans="4:8" ht="29.25" customHeight="1" x14ac:dyDescent="0.3">
      <c r="D1159" s="34">
        <v>45757</v>
      </c>
      <c r="E1159">
        <f t="shared" si="39"/>
        <v>22021</v>
      </c>
      <c r="G1159" s="34">
        <v>45757</v>
      </c>
      <c r="H1159" s="34" t="b">
        <f t="shared" si="40"/>
        <v>1</v>
      </c>
    </row>
    <row r="1160" spans="4:8" ht="29.25" customHeight="1" x14ac:dyDescent="0.3">
      <c r="D1160" s="34">
        <v>45758</v>
      </c>
      <c r="E1160">
        <f t="shared" si="39"/>
        <v>22021</v>
      </c>
      <c r="G1160" s="34">
        <v>45758</v>
      </c>
      <c r="H1160" s="34" t="b">
        <f t="shared" si="40"/>
        <v>1</v>
      </c>
    </row>
    <row r="1161" spans="4:8" ht="29.25" customHeight="1" x14ac:dyDescent="0.3">
      <c r="D1161" s="34">
        <v>45761</v>
      </c>
      <c r="E1161">
        <f t="shared" si="39"/>
        <v>22021</v>
      </c>
      <c r="G1161" s="34">
        <v>45761</v>
      </c>
      <c r="H1161" s="34" t="b">
        <f t="shared" si="40"/>
        <v>1</v>
      </c>
    </row>
    <row r="1162" spans="4:8" ht="29.25" customHeight="1" x14ac:dyDescent="0.3">
      <c r="D1162" s="34">
        <v>45762</v>
      </c>
      <c r="E1162">
        <f t="shared" si="39"/>
        <v>22021</v>
      </c>
      <c r="G1162" s="34">
        <v>45762</v>
      </c>
      <c r="H1162" s="34" t="b">
        <f t="shared" si="40"/>
        <v>1</v>
      </c>
    </row>
    <row r="1163" spans="4:8" ht="29.25" customHeight="1" x14ac:dyDescent="0.3">
      <c r="D1163" s="34">
        <v>45763</v>
      </c>
      <c r="E1163">
        <f t="shared" si="39"/>
        <v>22887</v>
      </c>
      <c r="G1163" s="34">
        <v>45763</v>
      </c>
      <c r="H1163" s="34" t="b">
        <f t="shared" si="40"/>
        <v>1</v>
      </c>
    </row>
    <row r="1164" spans="4:8" ht="29.25" customHeight="1" x14ac:dyDescent="0.3">
      <c r="D1164" s="34">
        <v>45764</v>
      </c>
      <c r="E1164">
        <f t="shared" si="39"/>
        <v>22887</v>
      </c>
      <c r="G1164" s="34">
        <v>45764</v>
      </c>
      <c r="H1164" s="34" t="b">
        <f t="shared" si="40"/>
        <v>1</v>
      </c>
    </row>
    <row r="1165" spans="4:8" ht="29.25" customHeight="1" x14ac:dyDescent="0.3">
      <c r="D1165" s="34">
        <v>45768</v>
      </c>
      <c r="E1165">
        <f t="shared" si="39"/>
        <v>22887</v>
      </c>
      <c r="G1165" s="34">
        <v>45768</v>
      </c>
      <c r="H1165" s="34" t="b">
        <f t="shared" si="40"/>
        <v>1</v>
      </c>
    </row>
    <row r="1166" spans="4:8" ht="29.25" customHeight="1" x14ac:dyDescent="0.3">
      <c r="D1166" s="34">
        <v>45769</v>
      </c>
      <c r="E1166">
        <f t="shared" si="39"/>
        <v>22887</v>
      </c>
      <c r="G1166" s="34">
        <v>45769</v>
      </c>
      <c r="H1166" s="34" t="b">
        <f t="shared" si="40"/>
        <v>1</v>
      </c>
    </row>
    <row r="1167" spans="4:8" ht="29.25" customHeight="1" x14ac:dyDescent="0.3">
      <c r="D1167" s="34">
        <v>45770</v>
      </c>
      <c r="E1167">
        <f t="shared" si="39"/>
        <v>24126</v>
      </c>
      <c r="G1167" s="34">
        <v>45770</v>
      </c>
      <c r="H1167" s="34" t="b">
        <f t="shared" si="40"/>
        <v>1</v>
      </c>
    </row>
    <row r="1168" spans="4:8" ht="29.25" customHeight="1" x14ac:dyDescent="0.3">
      <c r="D1168" s="34">
        <v>45771</v>
      </c>
      <c r="E1168">
        <f t="shared" si="39"/>
        <v>24126</v>
      </c>
      <c r="G1168" s="34">
        <v>45771</v>
      </c>
      <c r="H1168" s="34" t="b">
        <f t="shared" si="40"/>
        <v>1</v>
      </c>
    </row>
    <row r="1169" spans="4:8" ht="29.25" customHeight="1" x14ac:dyDescent="0.3">
      <c r="D1169" s="34">
        <v>45772</v>
      </c>
      <c r="E1169">
        <f t="shared" si="39"/>
        <v>24126</v>
      </c>
      <c r="G1169" s="34">
        <v>45772</v>
      </c>
      <c r="H1169" s="34" t="b">
        <f t="shared" si="40"/>
        <v>1</v>
      </c>
    </row>
    <row r="1170" spans="4:8" ht="29.25" customHeight="1" x14ac:dyDescent="0.3">
      <c r="D1170" s="34">
        <v>45775</v>
      </c>
      <c r="E1170">
        <f t="shared" si="39"/>
        <v>24126</v>
      </c>
      <c r="G1170" s="34">
        <v>45775</v>
      </c>
      <c r="H1170" s="34" t="b">
        <f t="shared" si="40"/>
        <v>1</v>
      </c>
    </row>
    <row r="1171" spans="4:8" ht="29.25" customHeight="1" x14ac:dyDescent="0.3">
      <c r="D1171" s="34">
        <v>45776</v>
      </c>
      <c r="E1171">
        <f t="shared" si="39"/>
        <v>24126</v>
      </c>
      <c r="G1171" s="34">
        <v>45776</v>
      </c>
      <c r="H1171" s="34" t="b">
        <f t="shared" si="40"/>
        <v>1</v>
      </c>
    </row>
    <row r="1172" spans="4:8" ht="29.25" customHeight="1" x14ac:dyDescent="0.3">
      <c r="D1172" s="34">
        <v>45777</v>
      </c>
      <c r="E1172">
        <f t="shared" si="39"/>
        <v>22474</v>
      </c>
      <c r="G1172" s="34">
        <v>45777</v>
      </c>
      <c r="H1172" s="34" t="b">
        <f t="shared" si="40"/>
        <v>1</v>
      </c>
    </row>
    <row r="1173" spans="4:8" ht="29.25" customHeight="1" x14ac:dyDescent="0.3">
      <c r="D1173" s="34">
        <v>45778</v>
      </c>
      <c r="E1173">
        <f t="shared" si="39"/>
        <v>22474</v>
      </c>
      <c r="G1173" s="34">
        <v>45778</v>
      </c>
      <c r="H1173" s="34" t="b">
        <f t="shared" si="40"/>
        <v>1</v>
      </c>
    </row>
    <row r="1174" spans="4:8" ht="29.25" customHeight="1" x14ac:dyDescent="0.3">
      <c r="D1174" s="34">
        <v>45779</v>
      </c>
      <c r="E1174">
        <f t="shared" si="39"/>
        <v>22474</v>
      </c>
      <c r="G1174" s="34">
        <v>45779</v>
      </c>
      <c r="H1174" s="34" t="b">
        <f t="shared" si="40"/>
        <v>1</v>
      </c>
    </row>
    <row r="1175" spans="4:8" ht="29.25" customHeight="1" x14ac:dyDescent="0.3">
      <c r="D1175" s="34">
        <v>45782</v>
      </c>
      <c r="E1175">
        <f t="shared" si="39"/>
        <v>22474</v>
      </c>
      <c r="G1175" s="34">
        <v>45782</v>
      </c>
      <c r="H1175" s="34" t="b">
        <f t="shared" si="40"/>
        <v>1</v>
      </c>
    </row>
    <row r="1176" spans="4:8" ht="29.25" customHeight="1" x14ac:dyDescent="0.3">
      <c r="D1176" s="34">
        <v>45783</v>
      </c>
      <c r="E1176">
        <f t="shared" si="39"/>
        <v>22474</v>
      </c>
      <c r="G1176" s="34">
        <v>45783</v>
      </c>
      <c r="H1176" s="34" t="b">
        <f t="shared" si="40"/>
        <v>1</v>
      </c>
    </row>
    <row r="1177" spans="4:8" ht="29.25" customHeight="1" x14ac:dyDescent="0.3">
      <c r="D1177" s="34">
        <v>45784</v>
      </c>
      <c r="E1177">
        <f t="shared" si="39"/>
        <v>20543</v>
      </c>
      <c r="G1177" s="34">
        <v>45784</v>
      </c>
      <c r="H1177" s="34" t="b">
        <f t="shared" si="40"/>
        <v>1</v>
      </c>
    </row>
    <row r="1178" spans="4:8" ht="29.25" customHeight="1" x14ac:dyDescent="0.3">
      <c r="D1178" s="34">
        <v>45785</v>
      </c>
      <c r="E1178">
        <f t="shared" si="39"/>
        <v>20543</v>
      </c>
      <c r="G1178" s="34">
        <v>45785</v>
      </c>
      <c r="H1178" s="34" t="b">
        <f t="shared" si="40"/>
        <v>1</v>
      </c>
    </row>
    <row r="1179" spans="4:8" ht="29.25" customHeight="1" x14ac:dyDescent="0.3">
      <c r="D1179" s="34">
        <v>45786</v>
      </c>
      <c r="E1179">
        <f t="shared" si="39"/>
        <v>20543</v>
      </c>
      <c r="G1179" s="34">
        <v>45786</v>
      </c>
      <c r="H1179" s="34" t="b">
        <f t="shared" si="40"/>
        <v>1</v>
      </c>
    </row>
    <row r="1180" spans="4:8" ht="29.25" customHeight="1" x14ac:dyDescent="0.3">
      <c r="D1180" s="34">
        <v>45789</v>
      </c>
      <c r="E1180">
        <f t="shared" si="39"/>
        <v>20543</v>
      </c>
      <c r="G1180" s="34">
        <v>45789</v>
      </c>
      <c r="H1180" s="34" t="b">
        <f t="shared" si="40"/>
        <v>1</v>
      </c>
    </row>
    <row r="1181" spans="4:8" ht="29.25" customHeight="1" x14ac:dyDescent="0.3">
      <c r="D1181" s="34">
        <v>45790</v>
      </c>
      <c r="E1181">
        <f t="shared" si="39"/>
        <v>20543</v>
      </c>
      <c r="G1181" s="34">
        <v>45790</v>
      </c>
      <c r="H1181" s="34" t="b">
        <f t="shared" si="40"/>
        <v>1</v>
      </c>
    </row>
    <row r="1182" spans="4:8" ht="29.25" customHeight="1" x14ac:dyDescent="0.3">
      <c r="D1182" s="34">
        <v>45791</v>
      </c>
      <c r="E1182">
        <f t="shared" si="39"/>
        <v>19387</v>
      </c>
      <c r="G1182" s="34">
        <v>45791</v>
      </c>
      <c r="H1182" s="34" t="b">
        <f t="shared" si="40"/>
        <v>1</v>
      </c>
    </row>
    <row r="1183" spans="4:8" ht="29.25" customHeight="1" x14ac:dyDescent="0.3">
      <c r="D1183" s="34">
        <v>45792</v>
      </c>
      <c r="E1183">
        <f t="shared" si="39"/>
        <v>19387</v>
      </c>
      <c r="G1183" s="34">
        <v>45792</v>
      </c>
      <c r="H1183" s="34" t="b">
        <f t="shared" si="40"/>
        <v>1</v>
      </c>
    </row>
    <row r="1184" spans="4:8" ht="29.25" customHeight="1" x14ac:dyDescent="0.3">
      <c r="D1184" s="34">
        <v>45793</v>
      </c>
      <c r="E1184">
        <f t="shared" si="39"/>
        <v>19387</v>
      </c>
      <c r="G1184" s="34">
        <v>45793</v>
      </c>
      <c r="H1184" s="34" t="b">
        <f t="shared" si="40"/>
        <v>1</v>
      </c>
    </row>
    <row r="1185" spans="4:8" ht="29.25" customHeight="1" x14ac:dyDescent="0.3">
      <c r="D1185" s="34">
        <v>45796</v>
      </c>
      <c r="E1185">
        <f t="shared" si="39"/>
        <v>19387</v>
      </c>
      <c r="G1185" s="34">
        <v>45796</v>
      </c>
      <c r="H1185" s="34" t="b">
        <f t="shared" si="40"/>
        <v>1</v>
      </c>
    </row>
    <row r="1186" spans="4:8" ht="29.25" customHeight="1" x14ac:dyDescent="0.3">
      <c r="D1186" s="34">
        <v>45797</v>
      </c>
      <c r="E1186">
        <f t="shared" si="39"/>
        <v>19387</v>
      </c>
      <c r="G1186" s="34">
        <v>45797</v>
      </c>
      <c r="H1186" s="34" t="b">
        <f t="shared" si="40"/>
        <v>1</v>
      </c>
    </row>
    <row r="1187" spans="4:8" ht="29.25" customHeight="1" x14ac:dyDescent="0.3">
      <c r="D1187" s="34">
        <v>45798</v>
      </c>
      <c r="E1187">
        <f t="shared" si="39"/>
        <v>21506</v>
      </c>
      <c r="G1187" s="34">
        <v>45798</v>
      </c>
      <c r="H1187" s="34" t="b">
        <f t="shared" si="40"/>
        <v>1</v>
      </c>
    </row>
    <row r="1188" spans="4:8" ht="29.25" customHeight="1" x14ac:dyDescent="0.3">
      <c r="D1188" s="34">
        <v>45799</v>
      </c>
      <c r="E1188">
        <f t="shared" si="39"/>
        <v>21506</v>
      </c>
      <c r="G1188" s="34">
        <v>45799</v>
      </c>
      <c r="H1188" s="34" t="b">
        <f t="shared" si="40"/>
        <v>1</v>
      </c>
    </row>
    <row r="1189" spans="4:8" ht="29.25" customHeight="1" x14ac:dyDescent="0.3">
      <c r="D1189" s="34">
        <v>45800</v>
      </c>
      <c r="E1189">
        <f t="shared" si="39"/>
        <v>21506</v>
      </c>
      <c r="G1189" s="34">
        <v>45800</v>
      </c>
      <c r="H1189" s="34" t="b">
        <f t="shared" si="40"/>
        <v>1</v>
      </c>
    </row>
    <row r="1190" spans="4:8" ht="29.25" customHeight="1" x14ac:dyDescent="0.3">
      <c r="D1190" s="34">
        <v>45803</v>
      </c>
      <c r="E1190">
        <f t="shared" si="39"/>
        <v>21506</v>
      </c>
      <c r="G1190" s="34">
        <v>45803</v>
      </c>
      <c r="H1190" s="34" t="b">
        <f t="shared" si="40"/>
        <v>1</v>
      </c>
    </row>
    <row r="1191" spans="4:8" ht="29.25" customHeight="1" x14ac:dyDescent="0.3">
      <c r="D1191" s="34">
        <v>45804</v>
      </c>
      <c r="E1191">
        <f t="shared" si="39"/>
        <v>21506</v>
      </c>
      <c r="G1191" s="34">
        <v>45804</v>
      </c>
      <c r="H1191" s="34" t="b">
        <f t="shared" si="40"/>
        <v>1</v>
      </c>
    </row>
    <row r="1192" spans="4:8" ht="29.25" customHeight="1" x14ac:dyDescent="0.3">
      <c r="D1192" s="34">
        <v>45805</v>
      </c>
      <c r="E1192">
        <f t="shared" si="39"/>
        <v>22338</v>
      </c>
      <c r="G1192" s="34">
        <v>45805</v>
      </c>
      <c r="H1192" s="34" t="b">
        <f t="shared" si="40"/>
        <v>1</v>
      </c>
    </row>
    <row r="1193" spans="4:8" ht="29.25" customHeight="1" x14ac:dyDescent="0.3">
      <c r="D1193" s="34">
        <v>45806</v>
      </c>
      <c r="E1193">
        <f t="shared" si="39"/>
        <v>22338</v>
      </c>
      <c r="G1193" s="34">
        <v>45806</v>
      </c>
      <c r="H1193" s="34" t="b">
        <f t="shared" si="40"/>
        <v>1</v>
      </c>
    </row>
    <row r="1194" spans="4:8" ht="29.25" customHeight="1" x14ac:dyDescent="0.3">
      <c r="D1194" s="34">
        <v>45807</v>
      </c>
      <c r="E1194">
        <f t="shared" si="39"/>
        <v>22338</v>
      </c>
      <c r="G1194" s="34">
        <v>45807</v>
      </c>
      <c r="H1194" s="34" t="b">
        <f t="shared" si="40"/>
        <v>1</v>
      </c>
    </row>
    <row r="1195" spans="4:8" ht="29.25" customHeight="1" x14ac:dyDescent="0.3">
      <c r="D1195" s="34">
        <v>45810</v>
      </c>
      <c r="E1195">
        <f t="shared" si="39"/>
        <v>22338</v>
      </c>
      <c r="G1195" s="34">
        <v>45810</v>
      </c>
      <c r="H1195" s="34" t="b">
        <f t="shared" si="40"/>
        <v>1</v>
      </c>
    </row>
    <row r="1196" spans="4:8" ht="29.25" customHeight="1" x14ac:dyDescent="0.3">
      <c r="D1196" s="34">
        <v>45811</v>
      </c>
      <c r="E1196">
        <f t="shared" si="39"/>
        <v>22338</v>
      </c>
      <c r="G1196" s="34">
        <v>45811</v>
      </c>
      <c r="H1196" s="34" t="b">
        <f t="shared" si="40"/>
        <v>1</v>
      </c>
    </row>
    <row r="1197" spans="4:8" ht="29.25" customHeight="1" x14ac:dyDescent="0.3">
      <c r="D1197" s="34">
        <v>45812</v>
      </c>
      <c r="E1197">
        <f t="shared" si="39"/>
        <v>22581</v>
      </c>
      <c r="G1197" s="34">
        <v>45812</v>
      </c>
      <c r="H1197" s="34" t="b">
        <f t="shared" si="40"/>
        <v>1</v>
      </c>
    </row>
    <row r="1198" spans="4:8" ht="29.25" customHeight="1" x14ac:dyDescent="0.3">
      <c r="D1198" s="34">
        <v>45813</v>
      </c>
      <c r="E1198">
        <f t="shared" si="39"/>
        <v>22581</v>
      </c>
      <c r="G1198" s="34">
        <v>45813</v>
      </c>
      <c r="H1198" s="34" t="b">
        <f t="shared" si="40"/>
        <v>1</v>
      </c>
    </row>
    <row r="1199" spans="4:8" ht="29.25" customHeight="1" x14ac:dyDescent="0.3">
      <c r="D1199" s="34">
        <v>45814</v>
      </c>
      <c r="E1199">
        <f t="shared" si="39"/>
        <v>22581</v>
      </c>
      <c r="G1199" s="34">
        <v>45814</v>
      </c>
      <c r="H1199" s="34" t="b">
        <f t="shared" si="40"/>
        <v>1</v>
      </c>
    </row>
    <row r="1200" spans="4:8" ht="29.25" customHeight="1" x14ac:dyDescent="0.3">
      <c r="D1200" s="34">
        <v>45817</v>
      </c>
      <c r="E1200">
        <f t="shared" si="39"/>
        <v>22581</v>
      </c>
      <c r="G1200" s="34">
        <v>45817</v>
      </c>
      <c r="H1200" s="34" t="b">
        <f t="shared" si="40"/>
        <v>1</v>
      </c>
    </row>
    <row r="1201" spans="4:8" ht="29.25" customHeight="1" x14ac:dyDescent="0.3">
      <c r="D1201" s="34">
        <v>45818</v>
      </c>
      <c r="E1201">
        <f t="shared" si="39"/>
        <v>22581</v>
      </c>
      <c r="G1201" s="34">
        <v>45818</v>
      </c>
      <c r="H1201" s="34" t="b">
        <f t="shared" si="40"/>
        <v>1</v>
      </c>
    </row>
    <row r="1202" spans="4:8" ht="29.25" customHeight="1" x14ac:dyDescent="0.3">
      <c r="D1202" s="34">
        <v>45819</v>
      </c>
      <c r="E1202">
        <f t="shared" si="39"/>
        <v>23714</v>
      </c>
      <c r="G1202" s="34">
        <v>45819</v>
      </c>
      <c r="H1202" s="34" t="b">
        <f t="shared" si="40"/>
        <v>1</v>
      </c>
    </row>
    <row r="1203" spans="4:8" ht="29.25" customHeight="1" x14ac:dyDescent="0.3">
      <c r="D1203" s="34">
        <v>45820</v>
      </c>
      <c r="E1203">
        <f t="shared" si="39"/>
        <v>23714</v>
      </c>
      <c r="G1203" s="34">
        <v>45820</v>
      </c>
      <c r="H1203" s="34" t="b">
        <f t="shared" si="40"/>
        <v>1</v>
      </c>
    </row>
    <row r="1204" spans="4:8" ht="29.25" customHeight="1" x14ac:dyDescent="0.3">
      <c r="D1204" s="34">
        <v>45821</v>
      </c>
      <c r="E1204">
        <f t="shared" si="39"/>
        <v>23714</v>
      </c>
      <c r="G1204" s="34">
        <v>45821</v>
      </c>
      <c r="H1204" s="34" t="b">
        <f t="shared" si="40"/>
        <v>1</v>
      </c>
    </row>
    <row r="1205" spans="4:8" ht="29.25" customHeight="1" x14ac:dyDescent="0.3">
      <c r="D1205" s="34">
        <v>45824</v>
      </c>
      <c r="E1205">
        <f t="shared" si="39"/>
        <v>23714</v>
      </c>
      <c r="G1205" s="34">
        <v>45824</v>
      </c>
      <c r="H1205" s="34" t="b">
        <f t="shared" si="40"/>
        <v>1</v>
      </c>
    </row>
    <row r="1206" spans="4:8" ht="29.25" customHeight="1" x14ac:dyDescent="0.3">
      <c r="D1206" s="34">
        <v>45825</v>
      </c>
      <c r="E1206">
        <f t="shared" si="39"/>
        <v>23714</v>
      </c>
      <c r="G1206" s="34">
        <v>45825</v>
      </c>
      <c r="H1206" s="34" t="b">
        <f t="shared" si="40"/>
        <v>1</v>
      </c>
    </row>
    <row r="1207" spans="4:8" ht="29.25" customHeight="1" x14ac:dyDescent="0.3">
      <c r="D1207" s="34">
        <v>45826</v>
      </c>
      <c r="E1207">
        <f t="shared" si="39"/>
        <v>21503</v>
      </c>
      <c r="G1207" s="34">
        <v>45826</v>
      </c>
      <c r="H1207" s="34" t="b">
        <f t="shared" si="40"/>
        <v>1</v>
      </c>
    </row>
    <row r="1208" spans="4:8" ht="29.25" customHeight="1" x14ac:dyDescent="0.3">
      <c r="D1208" s="34">
        <v>45827</v>
      </c>
      <c r="E1208">
        <f t="shared" si="39"/>
        <v>21503</v>
      </c>
      <c r="G1208" s="34">
        <v>45827</v>
      </c>
      <c r="H1208" s="34" t="b">
        <f t="shared" si="40"/>
        <v>1</v>
      </c>
    </row>
    <row r="1209" spans="4:8" ht="29.25" customHeight="1" x14ac:dyDescent="0.3">
      <c r="D1209" s="34">
        <v>45828</v>
      </c>
      <c r="E1209">
        <f t="shared" si="39"/>
        <v>21503</v>
      </c>
      <c r="G1209" s="34">
        <v>45828</v>
      </c>
      <c r="H1209" s="34" t="b">
        <f t="shared" si="40"/>
        <v>1</v>
      </c>
    </row>
    <row r="1210" spans="4:8" ht="29.25" customHeight="1" x14ac:dyDescent="0.3">
      <c r="D1210" s="34">
        <v>45831</v>
      </c>
      <c r="E1210">
        <f t="shared" si="39"/>
        <v>21503</v>
      </c>
      <c r="G1210" s="34">
        <v>45831</v>
      </c>
      <c r="H1210" s="34" t="b">
        <f t="shared" si="40"/>
        <v>1</v>
      </c>
    </row>
    <row r="1211" spans="4:8" ht="29.25" customHeight="1" x14ac:dyDescent="0.3">
      <c r="D1211" s="34">
        <v>45832</v>
      </c>
      <c r="E1211">
        <f t="shared" si="39"/>
        <v>21503</v>
      </c>
      <c r="G1211" s="34">
        <v>45832</v>
      </c>
      <c r="H1211" s="34" t="b">
        <f t="shared" si="40"/>
        <v>1</v>
      </c>
    </row>
    <row r="1212" spans="4:8" ht="29.25" customHeight="1" x14ac:dyDescent="0.3">
      <c r="D1212" s="34">
        <v>45833</v>
      </c>
      <c r="E1212">
        <f t="shared" si="39"/>
        <v>22500</v>
      </c>
      <c r="G1212" s="34">
        <v>45833</v>
      </c>
      <c r="H1212" s="34" t="b">
        <f t="shared" si="40"/>
        <v>1</v>
      </c>
    </row>
    <row r="1213" spans="4:8" ht="29.25" customHeight="1" x14ac:dyDescent="0.3">
      <c r="D1213" s="34">
        <v>45834</v>
      </c>
      <c r="E1213">
        <f t="shared" si="39"/>
        <v>22500</v>
      </c>
      <c r="G1213" s="34">
        <v>45834</v>
      </c>
      <c r="H1213" s="34" t="b">
        <f t="shared" si="40"/>
        <v>1</v>
      </c>
    </row>
    <row r="1214" spans="4:8" ht="29.25" customHeight="1" x14ac:dyDescent="0.3">
      <c r="D1214" s="34">
        <v>45835</v>
      </c>
      <c r="E1214">
        <f t="shared" si="39"/>
        <v>22500</v>
      </c>
      <c r="G1214" s="34">
        <v>45835</v>
      </c>
      <c r="H1214" s="34" t="b">
        <f t="shared" si="40"/>
        <v>1</v>
      </c>
    </row>
    <row r="1215" spans="4:8" ht="29.25" customHeight="1" x14ac:dyDescent="0.3">
      <c r="D1215" s="34">
        <v>45838</v>
      </c>
      <c r="E1215">
        <f t="shared" si="39"/>
        <v>22500</v>
      </c>
      <c r="G1215" s="34">
        <v>45838</v>
      </c>
      <c r="H1215" s="34" t="b">
        <f t="shared" si="40"/>
        <v>1</v>
      </c>
    </row>
    <row r="1216" spans="4:8" ht="29.25" customHeight="1" x14ac:dyDescent="0.3">
      <c r="D1216" s="34">
        <v>45839</v>
      </c>
      <c r="E1216">
        <f t="shared" si="39"/>
        <v>22500</v>
      </c>
      <c r="G1216" s="34">
        <v>45839</v>
      </c>
      <c r="H1216" s="34" t="b">
        <f t="shared" si="40"/>
        <v>1</v>
      </c>
    </row>
    <row r="1217" spans="4:8" ht="29.25" customHeight="1" x14ac:dyDescent="0.3">
      <c r="D1217" s="34">
        <v>45840</v>
      </c>
      <c r="E1217">
        <f t="shared" si="39"/>
        <v>23380</v>
      </c>
      <c r="G1217" s="34">
        <v>45840</v>
      </c>
      <c r="H1217" s="34" t="b">
        <f t="shared" si="40"/>
        <v>1</v>
      </c>
    </row>
    <row r="1218" spans="4:8" ht="29.25" customHeight="1" x14ac:dyDescent="0.3">
      <c r="D1218" s="34">
        <v>45841</v>
      </c>
      <c r="E1218">
        <f t="shared" si="39"/>
        <v>23380</v>
      </c>
      <c r="G1218" s="34">
        <v>45841</v>
      </c>
      <c r="H1218" s="34" t="b">
        <f t="shared" si="40"/>
        <v>1</v>
      </c>
    </row>
    <row r="1219" spans="4:8" ht="29.25" customHeight="1" x14ac:dyDescent="0.3">
      <c r="D1219" s="34">
        <v>45842</v>
      </c>
      <c r="E1219">
        <f t="shared" ref="E1219:E1282" si="41">LOOKUP(D1219,A:A,B:B)</f>
        <v>23380</v>
      </c>
      <c r="G1219" s="34">
        <v>45842</v>
      </c>
      <c r="H1219" s="34" t="b">
        <f t="shared" ref="H1219:H1282" si="42">G1219=D1219</f>
        <v>1</v>
      </c>
    </row>
    <row r="1220" spans="4:8" ht="29.25" customHeight="1" x14ac:dyDescent="0.3">
      <c r="D1220" s="34">
        <v>45845</v>
      </c>
      <c r="E1220">
        <f t="shared" si="41"/>
        <v>23380</v>
      </c>
      <c r="G1220" s="34">
        <v>45845</v>
      </c>
      <c r="H1220" s="34" t="b">
        <f t="shared" si="42"/>
        <v>1</v>
      </c>
    </row>
    <row r="1221" spans="4:8" ht="29.25" customHeight="1" x14ac:dyDescent="0.3">
      <c r="D1221" s="34">
        <v>45846</v>
      </c>
      <c r="E1221">
        <f t="shared" si="41"/>
        <v>23380</v>
      </c>
      <c r="G1221" s="34">
        <v>45846</v>
      </c>
      <c r="H1221" s="34" t="b">
        <f t="shared" si="42"/>
        <v>1</v>
      </c>
    </row>
    <row r="1222" spans="4:8" ht="29.25" customHeight="1" x14ac:dyDescent="0.3">
      <c r="D1222" s="34">
        <v>45847</v>
      </c>
      <c r="E1222">
        <f t="shared" si="41"/>
        <v>24708</v>
      </c>
      <c r="G1222" s="34">
        <v>45847</v>
      </c>
      <c r="H1222" s="34" t="b">
        <f t="shared" si="42"/>
        <v>1</v>
      </c>
    </row>
    <row r="1223" spans="4:8" ht="29.25" customHeight="1" x14ac:dyDescent="0.3">
      <c r="D1223" s="34">
        <v>45848</v>
      </c>
      <c r="E1223">
        <f t="shared" si="41"/>
        <v>24708</v>
      </c>
      <c r="G1223" s="34">
        <v>45848</v>
      </c>
      <c r="H1223" s="34" t="b">
        <f t="shared" si="42"/>
        <v>1</v>
      </c>
    </row>
    <row r="1224" spans="4:8" ht="29.25" customHeight="1" x14ac:dyDescent="0.3">
      <c r="D1224" s="34">
        <v>45849</v>
      </c>
      <c r="E1224">
        <f t="shared" si="41"/>
        <v>24708</v>
      </c>
      <c r="G1224" s="34">
        <v>45849</v>
      </c>
      <c r="H1224" s="34" t="b">
        <f t="shared" si="42"/>
        <v>1</v>
      </c>
    </row>
    <row r="1225" spans="4:8" ht="29.25" customHeight="1" x14ac:dyDescent="0.3">
      <c r="D1225" s="34">
        <v>45852</v>
      </c>
      <c r="E1225">
        <f t="shared" si="41"/>
        <v>24708</v>
      </c>
      <c r="G1225" s="34">
        <v>45852</v>
      </c>
      <c r="H1225" s="34" t="b">
        <f t="shared" si="42"/>
        <v>1</v>
      </c>
    </row>
    <row r="1226" spans="4:8" ht="29.25" customHeight="1" x14ac:dyDescent="0.3">
      <c r="D1226" s="34">
        <v>45853</v>
      </c>
      <c r="E1226">
        <f t="shared" si="41"/>
        <v>24708</v>
      </c>
      <c r="G1226" s="34">
        <v>45853</v>
      </c>
      <c r="H1226" s="34" t="b">
        <f t="shared" si="42"/>
        <v>1</v>
      </c>
    </row>
    <row r="1227" spans="4:8" ht="29.25" customHeight="1" x14ac:dyDescent="0.3">
      <c r="D1227" s="34">
        <v>45854</v>
      </c>
      <c r="E1227">
        <f t="shared" si="41"/>
        <v>23385</v>
      </c>
      <c r="G1227" s="34">
        <v>45854</v>
      </c>
      <c r="H1227" s="34" t="b">
        <f t="shared" si="42"/>
        <v>1</v>
      </c>
    </row>
    <row r="1228" spans="4:8" ht="29.25" customHeight="1" x14ac:dyDescent="0.3">
      <c r="D1228" s="34">
        <v>45855</v>
      </c>
      <c r="E1228">
        <f t="shared" si="41"/>
        <v>23385</v>
      </c>
      <c r="G1228" s="34">
        <v>45855</v>
      </c>
      <c r="H1228" s="34" t="b">
        <f t="shared" si="42"/>
        <v>1</v>
      </c>
    </row>
    <row r="1229" spans="4:8" ht="29.25" customHeight="1" x14ac:dyDescent="0.3">
      <c r="D1229" s="34">
        <v>45856</v>
      </c>
      <c r="E1229">
        <f t="shared" si="41"/>
        <v>23385</v>
      </c>
      <c r="G1229" s="34">
        <v>45856</v>
      </c>
      <c r="H1229" s="34" t="b">
        <f t="shared" si="42"/>
        <v>1</v>
      </c>
    </row>
    <row r="1230" spans="4:8" ht="29.25" customHeight="1" x14ac:dyDescent="0.3">
      <c r="D1230" s="34">
        <v>45859</v>
      </c>
      <c r="E1230">
        <f t="shared" si="41"/>
        <v>23385</v>
      </c>
      <c r="G1230" s="34">
        <v>45859</v>
      </c>
      <c r="H1230" s="34" t="b">
        <f t="shared" si="42"/>
        <v>1</v>
      </c>
    </row>
    <row r="1231" spans="4:8" ht="29.25" customHeight="1" x14ac:dyDescent="0.3">
      <c r="D1231" s="34">
        <v>45860</v>
      </c>
      <c r="E1231">
        <f t="shared" si="41"/>
        <v>23385</v>
      </c>
      <c r="G1231" s="34">
        <v>45860</v>
      </c>
      <c r="H1231" s="34" t="b">
        <f t="shared" si="42"/>
        <v>1</v>
      </c>
    </row>
    <row r="1232" spans="4:8" ht="29.25" customHeight="1" x14ac:dyDescent="0.3">
      <c r="D1232" s="34">
        <v>45861</v>
      </c>
      <c r="E1232">
        <f t="shared" si="41"/>
        <v>23699</v>
      </c>
      <c r="G1232" s="34">
        <v>45861</v>
      </c>
      <c r="H1232" s="34" t="b">
        <f t="shared" si="42"/>
        <v>1</v>
      </c>
    </row>
    <row r="1233" spans="4:8" ht="29.25" customHeight="1" x14ac:dyDescent="0.3">
      <c r="D1233" s="34">
        <v>45862</v>
      </c>
      <c r="E1233">
        <f t="shared" si="41"/>
        <v>23699</v>
      </c>
      <c r="G1233" s="34">
        <v>45862</v>
      </c>
      <c r="H1233" s="34" t="b">
        <f t="shared" si="42"/>
        <v>1</v>
      </c>
    </row>
    <row r="1234" spans="4:8" ht="29.25" customHeight="1" x14ac:dyDescent="0.3">
      <c r="D1234" s="34">
        <v>45863</v>
      </c>
      <c r="E1234">
        <f t="shared" si="41"/>
        <v>23699</v>
      </c>
      <c r="G1234" s="34">
        <v>45863</v>
      </c>
      <c r="H1234" s="34" t="b">
        <f t="shared" si="42"/>
        <v>1</v>
      </c>
    </row>
    <row r="1235" spans="4:8" ht="29.25" customHeight="1" x14ac:dyDescent="0.3">
      <c r="D1235" s="34">
        <v>45866</v>
      </c>
      <c r="E1235">
        <f t="shared" si="41"/>
        <v>23699</v>
      </c>
      <c r="G1235" s="34">
        <v>45866</v>
      </c>
      <c r="H1235" s="34" t="b">
        <f t="shared" si="42"/>
        <v>1</v>
      </c>
    </row>
    <row r="1236" spans="4:8" ht="29.25" customHeight="1" x14ac:dyDescent="0.3">
      <c r="D1236" s="34">
        <v>45867</v>
      </c>
      <c r="E1236">
        <f t="shared" si="41"/>
        <v>23699</v>
      </c>
      <c r="G1236" s="34">
        <v>45867</v>
      </c>
      <c r="H1236" s="34" t="b">
        <f t="shared" si="42"/>
        <v>1</v>
      </c>
    </row>
    <row r="1237" spans="4:8" ht="29.25" customHeight="1" x14ac:dyDescent="0.3">
      <c r="D1237" s="34">
        <v>45868</v>
      </c>
      <c r="E1237">
        <f t="shared" si="41"/>
        <v>24668</v>
      </c>
      <c r="G1237" s="34">
        <v>45868</v>
      </c>
      <c r="H1237" s="34" t="b">
        <f t="shared" si="42"/>
        <v>1</v>
      </c>
    </row>
    <row r="1238" spans="4:8" ht="29.25" customHeight="1" x14ac:dyDescent="0.3">
      <c r="D1238" s="34">
        <v>45869</v>
      </c>
      <c r="E1238">
        <f t="shared" si="41"/>
        <v>24668</v>
      </c>
      <c r="G1238" s="34">
        <v>45869</v>
      </c>
      <c r="H1238" s="34" t="b">
        <f t="shared" si="42"/>
        <v>1</v>
      </c>
    </row>
    <row r="1239" spans="4:8" ht="29.25" customHeight="1" x14ac:dyDescent="0.3">
      <c r="D1239" s="34">
        <v>45870</v>
      </c>
      <c r="E1239">
        <f t="shared" si="41"/>
        <v>24668</v>
      </c>
      <c r="G1239" s="34">
        <v>45870</v>
      </c>
      <c r="H1239" s="34" t="b">
        <f t="shared" si="42"/>
        <v>1</v>
      </c>
    </row>
    <row r="1240" spans="4:8" ht="29.25" customHeight="1" x14ac:dyDescent="0.3">
      <c r="D1240" s="34">
        <v>45873</v>
      </c>
      <c r="E1240">
        <f t="shared" si="41"/>
        <v>24668</v>
      </c>
      <c r="G1240" s="34">
        <v>45873</v>
      </c>
      <c r="H1240" s="34" t="b">
        <f t="shared" si="42"/>
        <v>1</v>
      </c>
    </row>
    <row r="1241" spans="4:8" ht="29.25" customHeight="1" x14ac:dyDescent="0.3">
      <c r="D1241" s="34">
        <v>45874</v>
      </c>
      <c r="E1241">
        <f t="shared" si="41"/>
        <v>24668</v>
      </c>
      <c r="G1241" s="34">
        <v>45874</v>
      </c>
      <c r="H1241" s="34" t="b">
        <f t="shared" si="42"/>
        <v>1</v>
      </c>
    </row>
    <row r="1242" spans="4:8" ht="29.25" customHeight="1" x14ac:dyDescent="0.3">
      <c r="D1242" s="34">
        <v>45875</v>
      </c>
      <c r="E1242">
        <f t="shared" si="41"/>
        <v>26319</v>
      </c>
      <c r="G1242" s="34">
        <v>45875</v>
      </c>
      <c r="H1242" s="34" t="b">
        <f t="shared" si="42"/>
        <v>1</v>
      </c>
    </row>
    <row r="1243" spans="4:8" ht="29.25" customHeight="1" x14ac:dyDescent="0.3">
      <c r="D1243" s="34">
        <v>45876</v>
      </c>
      <c r="E1243">
        <f t="shared" si="41"/>
        <v>26319</v>
      </c>
      <c r="G1243" s="34">
        <v>45876</v>
      </c>
      <c r="H1243" s="34" t="b">
        <f t="shared" si="42"/>
        <v>1</v>
      </c>
    </row>
    <row r="1244" spans="4:8" ht="29.25" customHeight="1" x14ac:dyDescent="0.3">
      <c r="D1244" s="34">
        <v>45877</v>
      </c>
      <c r="E1244">
        <f t="shared" si="41"/>
        <v>26319</v>
      </c>
      <c r="G1244" s="34">
        <v>45877</v>
      </c>
      <c r="H1244" s="34" t="b">
        <f t="shared" si="42"/>
        <v>1</v>
      </c>
    </row>
    <row r="1245" spans="4:8" ht="29.25" customHeight="1" x14ac:dyDescent="0.3">
      <c r="D1245" s="34">
        <v>45880</v>
      </c>
      <c r="E1245">
        <f t="shared" si="41"/>
        <v>26319</v>
      </c>
      <c r="G1245" s="34">
        <v>45880</v>
      </c>
      <c r="H1245" s="34" t="b">
        <f t="shared" si="42"/>
        <v>1</v>
      </c>
    </row>
    <row r="1246" spans="4:8" ht="29.25" customHeight="1" x14ac:dyDescent="0.3">
      <c r="D1246" s="34">
        <v>45881</v>
      </c>
      <c r="E1246">
        <f t="shared" si="41"/>
        <v>26319</v>
      </c>
      <c r="G1246" s="34">
        <v>45881</v>
      </c>
      <c r="H1246" s="34" t="b">
        <f t="shared" si="42"/>
        <v>1</v>
      </c>
    </row>
    <row r="1247" spans="4:8" ht="29.25" customHeight="1" x14ac:dyDescent="0.3">
      <c r="D1247" s="34">
        <v>45882</v>
      </c>
      <c r="E1247">
        <f t="shared" si="41"/>
        <v>24645</v>
      </c>
      <c r="G1247" s="34">
        <v>45882</v>
      </c>
      <c r="H1247" s="34" t="b">
        <f t="shared" si="42"/>
        <v>1</v>
      </c>
    </row>
    <row r="1248" spans="4:8" ht="29.25" customHeight="1" x14ac:dyDescent="0.3">
      <c r="D1248" s="34">
        <v>45883</v>
      </c>
      <c r="E1248">
        <f t="shared" si="41"/>
        <v>24645</v>
      </c>
      <c r="G1248" s="34">
        <v>45883</v>
      </c>
      <c r="H1248" s="34" t="b">
        <f t="shared" si="42"/>
        <v>1</v>
      </c>
    </row>
    <row r="1249" spans="4:8" ht="29.25" customHeight="1" x14ac:dyDescent="0.3">
      <c r="D1249" s="34">
        <v>45884</v>
      </c>
      <c r="E1249">
        <f t="shared" si="41"/>
        <v>24645</v>
      </c>
      <c r="G1249" s="34">
        <v>45884</v>
      </c>
      <c r="H1249" s="34" t="b">
        <f t="shared" si="42"/>
        <v>1</v>
      </c>
    </row>
    <row r="1250" spans="4:8" ht="29.25" customHeight="1" x14ac:dyDescent="0.3">
      <c r="D1250" s="34">
        <v>45887</v>
      </c>
      <c r="E1250">
        <f t="shared" si="41"/>
        <v>24645</v>
      </c>
      <c r="G1250" s="34">
        <v>45887</v>
      </c>
      <c r="H1250" s="34" t="b">
        <f t="shared" si="42"/>
        <v>1</v>
      </c>
    </row>
    <row r="1251" spans="4:8" ht="29.25" customHeight="1" x14ac:dyDescent="0.3">
      <c r="D1251" s="34">
        <v>45888</v>
      </c>
      <c r="E1251">
        <f t="shared" si="41"/>
        <v>24645</v>
      </c>
      <c r="G1251" s="34">
        <v>45888</v>
      </c>
      <c r="H1251" s="34" t="b">
        <f t="shared" si="42"/>
        <v>1</v>
      </c>
    </row>
    <row r="1252" spans="4:8" ht="29.25" customHeight="1" x14ac:dyDescent="0.3">
      <c r="D1252" s="34">
        <v>45889</v>
      </c>
      <c r="E1252">
        <f t="shared" si="41"/>
        <v>23035</v>
      </c>
      <c r="G1252" s="34">
        <v>45889</v>
      </c>
      <c r="H1252" s="34" t="b">
        <f t="shared" si="42"/>
        <v>1</v>
      </c>
    </row>
    <row r="1253" spans="4:8" ht="29.25" customHeight="1" x14ac:dyDescent="0.3">
      <c r="D1253" s="34">
        <v>45890</v>
      </c>
      <c r="E1253">
        <f t="shared" si="41"/>
        <v>23035</v>
      </c>
      <c r="G1253" s="34">
        <v>45890</v>
      </c>
      <c r="H1253" s="34" t="b">
        <f t="shared" si="42"/>
        <v>1</v>
      </c>
    </row>
    <row r="1254" spans="4:8" ht="29.25" customHeight="1" x14ac:dyDescent="0.3">
      <c r="D1254" s="34">
        <v>45891</v>
      </c>
      <c r="E1254">
        <f t="shared" si="41"/>
        <v>23035</v>
      </c>
      <c r="G1254" s="34">
        <v>45891</v>
      </c>
      <c r="H1254" s="34" t="b">
        <f t="shared" si="42"/>
        <v>1</v>
      </c>
    </row>
    <row r="1255" spans="4:8" ht="29.25" customHeight="1" x14ac:dyDescent="0.3">
      <c r="D1255" s="34">
        <v>45894</v>
      </c>
      <c r="E1255">
        <f t="shared" si="41"/>
        <v>23035</v>
      </c>
      <c r="G1255" s="34">
        <v>45894</v>
      </c>
      <c r="H1255" s="34" t="b">
        <f t="shared" si="42"/>
        <v>1</v>
      </c>
    </row>
    <row r="1256" spans="4:8" ht="29.25" customHeight="1" x14ac:dyDescent="0.3">
      <c r="D1256" s="34">
        <v>45895</v>
      </c>
      <c r="E1256">
        <f t="shared" si="41"/>
        <v>23035</v>
      </c>
      <c r="G1256" s="34">
        <v>45895</v>
      </c>
      <c r="H1256" s="34" t="b">
        <f t="shared" si="42"/>
        <v>1</v>
      </c>
    </row>
    <row r="1257" spans="4:8" ht="29.25" customHeight="1" x14ac:dyDescent="0.3">
      <c r="D1257" s="34">
        <v>45896</v>
      </c>
      <c r="E1257">
        <f t="shared" si="41"/>
        <v>24724</v>
      </c>
      <c r="G1257" s="34">
        <v>45896</v>
      </c>
      <c r="H1257" s="34" t="b">
        <f t="shared" si="42"/>
        <v>1</v>
      </c>
    </row>
    <row r="1258" spans="4:8" ht="29.25" customHeight="1" x14ac:dyDescent="0.3">
      <c r="D1258" s="34">
        <v>45897</v>
      </c>
      <c r="E1258">
        <f t="shared" si="41"/>
        <v>24724</v>
      </c>
      <c r="G1258" s="34">
        <v>45897</v>
      </c>
      <c r="H1258" s="34" t="b">
        <f t="shared" si="42"/>
        <v>1</v>
      </c>
    </row>
    <row r="1259" spans="4:8" ht="29.25" customHeight="1" x14ac:dyDescent="0.3">
      <c r="D1259" s="34">
        <v>45898</v>
      </c>
      <c r="E1259">
        <f t="shared" si="41"/>
        <v>24724</v>
      </c>
      <c r="G1259" s="34">
        <v>45898</v>
      </c>
      <c r="H1259" s="34" t="b">
        <f t="shared" si="42"/>
        <v>1</v>
      </c>
    </row>
    <row r="1260" spans="4:8" ht="29.25" customHeight="1" x14ac:dyDescent="0.3">
      <c r="D1260" s="34">
        <v>45901</v>
      </c>
      <c r="E1260">
        <f t="shared" si="41"/>
        <v>24724</v>
      </c>
      <c r="G1260" s="34">
        <v>45901</v>
      </c>
      <c r="H1260" s="34" t="b">
        <f t="shared" si="42"/>
        <v>1</v>
      </c>
    </row>
    <row r="1261" spans="4:8" ht="29.25" customHeight="1" x14ac:dyDescent="0.3">
      <c r="D1261" s="34">
        <v>45902</v>
      </c>
      <c r="E1261">
        <f t="shared" si="41"/>
        <v>24724</v>
      </c>
      <c r="G1261" s="34">
        <v>45902</v>
      </c>
      <c r="H1261" s="34" t="b">
        <f t="shared" si="42"/>
        <v>1</v>
      </c>
    </row>
    <row r="1262" spans="4:8" ht="29.25" customHeight="1" x14ac:dyDescent="0.3">
      <c r="D1262" s="34">
        <v>45903</v>
      </c>
      <c r="E1262">
        <f t="shared" si="41"/>
        <v>27399</v>
      </c>
      <c r="G1262" s="34">
        <v>45903</v>
      </c>
      <c r="H1262" s="34" t="b">
        <f t="shared" si="42"/>
        <v>1</v>
      </c>
    </row>
    <row r="1263" spans="4:8" ht="29.25" customHeight="1" x14ac:dyDescent="0.3">
      <c r="D1263" s="34">
        <v>45904</v>
      </c>
      <c r="E1263">
        <f t="shared" si="41"/>
        <v>27399</v>
      </c>
      <c r="G1263" s="34">
        <v>45904</v>
      </c>
      <c r="H1263" s="34" t="b">
        <f t="shared" si="42"/>
        <v>1</v>
      </c>
    </row>
    <row r="1264" spans="4:8" ht="29.25" customHeight="1" x14ac:dyDescent="0.3">
      <c r="D1264" s="34">
        <v>45905</v>
      </c>
      <c r="E1264">
        <f t="shared" si="41"/>
        <v>27399</v>
      </c>
      <c r="G1264" s="34">
        <v>45905</v>
      </c>
      <c r="H1264" s="34" t="b">
        <f t="shared" si="42"/>
        <v>1</v>
      </c>
    </row>
    <row r="1265" spans="4:8" ht="29.25" customHeight="1" x14ac:dyDescent="0.3">
      <c r="D1265" s="34">
        <v>45908</v>
      </c>
      <c r="E1265">
        <f t="shared" si="41"/>
        <v>27399</v>
      </c>
      <c r="G1265" s="34">
        <v>45908</v>
      </c>
      <c r="H1265" s="34" t="b">
        <f t="shared" si="42"/>
        <v>1</v>
      </c>
    </row>
    <row r="1266" spans="4:8" ht="29.25" customHeight="1" x14ac:dyDescent="0.3">
      <c r="D1266" s="34">
        <v>45909</v>
      </c>
      <c r="E1266">
        <f t="shared" si="41"/>
        <v>27399</v>
      </c>
      <c r="G1266" s="34">
        <v>45909</v>
      </c>
      <c r="H1266" s="34" t="b">
        <f t="shared" si="42"/>
        <v>1</v>
      </c>
    </row>
    <row r="1267" spans="4:8" ht="29.25" customHeight="1" x14ac:dyDescent="0.3">
      <c r="D1267" s="34">
        <v>45910</v>
      </c>
      <c r="E1267">
        <f t="shared" si="41"/>
        <v>26528</v>
      </c>
      <c r="G1267" s="34">
        <v>45910</v>
      </c>
      <c r="H1267" s="34" t="b">
        <f t="shared" si="42"/>
        <v>1</v>
      </c>
    </row>
    <row r="1268" spans="4:8" ht="29.25" customHeight="1" x14ac:dyDescent="0.3">
      <c r="D1268" s="34">
        <v>45911</v>
      </c>
      <c r="E1268">
        <f t="shared" si="41"/>
        <v>26528</v>
      </c>
      <c r="G1268" s="34">
        <v>45911</v>
      </c>
      <c r="H1268" s="34" t="b">
        <f t="shared" si="42"/>
        <v>1</v>
      </c>
    </row>
    <row r="1269" spans="4:8" ht="29.25" customHeight="1" x14ac:dyDescent="0.3">
      <c r="D1269" s="34">
        <v>45912</v>
      </c>
      <c r="E1269">
        <f t="shared" si="41"/>
        <v>26528</v>
      </c>
      <c r="G1269" s="34">
        <v>45912</v>
      </c>
      <c r="H1269" s="34" t="b">
        <f t="shared" si="42"/>
        <v>1</v>
      </c>
    </row>
    <row r="1270" spans="4:8" ht="29.25" customHeight="1" x14ac:dyDescent="0.3">
      <c r="D1270" s="34">
        <v>45915</v>
      </c>
      <c r="E1270">
        <f t="shared" si="41"/>
        <v>26528</v>
      </c>
      <c r="G1270" s="34">
        <v>45915</v>
      </c>
      <c r="H1270" s="34" t="b">
        <f t="shared" si="42"/>
        <v>1</v>
      </c>
    </row>
    <row r="1271" spans="4:8" ht="29.25" customHeight="1" x14ac:dyDescent="0.3">
      <c r="D1271" s="34">
        <v>45916</v>
      </c>
      <c r="E1271">
        <f t="shared" si="41"/>
        <v>26528</v>
      </c>
      <c r="G1271" s="34">
        <v>45916</v>
      </c>
      <c r="H1271" s="34" t="b">
        <f t="shared" si="42"/>
        <v>1</v>
      </c>
    </row>
    <row r="1272" spans="4:8" ht="29.25" customHeight="1" x14ac:dyDescent="0.3">
      <c r="D1272" s="34">
        <v>45917</v>
      </c>
      <c r="E1272">
        <f t="shared" si="41"/>
        <v>25410</v>
      </c>
      <c r="G1272" s="34">
        <v>45917</v>
      </c>
      <c r="H1272" s="34" t="b">
        <f t="shared" si="42"/>
        <v>1</v>
      </c>
    </row>
    <row r="1273" spans="4:8" ht="29.25" customHeight="1" x14ac:dyDescent="0.3">
      <c r="D1273" s="34">
        <v>45918</v>
      </c>
      <c r="E1273">
        <f t="shared" si="41"/>
        <v>25410</v>
      </c>
      <c r="G1273" s="34">
        <v>45918</v>
      </c>
      <c r="H1273" s="34" t="b">
        <f t="shared" si="42"/>
        <v>1</v>
      </c>
    </row>
    <row r="1274" spans="4:8" ht="29.25" customHeight="1" x14ac:dyDescent="0.3">
      <c r="D1274" s="34">
        <v>45919</v>
      </c>
      <c r="E1274">
        <f t="shared" si="41"/>
        <v>25410</v>
      </c>
      <c r="G1274" s="34">
        <v>45919</v>
      </c>
      <c r="H1274" s="34" t="b">
        <f t="shared" si="42"/>
        <v>1</v>
      </c>
    </row>
    <row r="1275" spans="4:8" ht="29.25" customHeight="1" x14ac:dyDescent="0.3">
      <c r="D1275" s="34">
        <v>45922</v>
      </c>
      <c r="E1275">
        <f t="shared" si="41"/>
        <v>25410</v>
      </c>
      <c r="G1275" s="34">
        <v>45922</v>
      </c>
      <c r="H1275" s="34" t="b">
        <f t="shared" si="42"/>
        <v>1</v>
      </c>
    </row>
    <row r="1276" spans="4:8" ht="29.25" customHeight="1" x14ac:dyDescent="0.3">
      <c r="D1276" s="34">
        <v>45923</v>
      </c>
      <c r="E1276">
        <f t="shared" si="41"/>
        <v>25410</v>
      </c>
      <c r="G1276" s="34">
        <v>45923</v>
      </c>
      <c r="H1276" s="34" t="b">
        <f t="shared" si="42"/>
        <v>1</v>
      </c>
    </row>
    <row r="1277" spans="4:8" ht="29.25" customHeight="1" x14ac:dyDescent="0.3">
      <c r="D1277" s="34">
        <v>45924</v>
      </c>
      <c r="E1277">
        <f t="shared" si="41"/>
        <v>22804</v>
      </c>
      <c r="G1277" s="34">
        <v>45924</v>
      </c>
      <c r="H1277" s="34" t="b">
        <f t="shared" si="42"/>
        <v>1</v>
      </c>
    </row>
    <row r="1278" spans="4:8" ht="29.25" customHeight="1" x14ac:dyDescent="0.3">
      <c r="D1278" s="34">
        <v>45925</v>
      </c>
      <c r="E1278">
        <f t="shared" si="41"/>
        <v>22804</v>
      </c>
      <c r="G1278" s="34">
        <v>45925</v>
      </c>
      <c r="H1278" s="34" t="b">
        <f t="shared" si="42"/>
        <v>1</v>
      </c>
    </row>
    <row r="1279" spans="4:8" ht="29.25" customHeight="1" x14ac:dyDescent="0.3">
      <c r="D1279" s="34">
        <v>45926</v>
      </c>
      <c r="E1279">
        <f t="shared" si="41"/>
        <v>22804</v>
      </c>
      <c r="G1279" s="34">
        <v>45926</v>
      </c>
      <c r="H1279" s="34" t="b">
        <f t="shared" si="42"/>
        <v>1</v>
      </c>
    </row>
    <row r="1280" spans="4:8" ht="29.25" customHeight="1" x14ac:dyDescent="0.3">
      <c r="D1280" s="34">
        <v>45929</v>
      </c>
      <c r="E1280">
        <f t="shared" si="41"/>
        <v>22804</v>
      </c>
      <c r="G1280" s="34">
        <v>45929</v>
      </c>
      <c r="H1280" s="34" t="b">
        <f t="shared" si="42"/>
        <v>1</v>
      </c>
    </row>
    <row r="1281" spans="4:8" ht="29.25" customHeight="1" x14ac:dyDescent="0.3">
      <c r="D1281" s="34">
        <v>45930</v>
      </c>
      <c r="E1281">
        <f t="shared" si="41"/>
        <v>22804</v>
      </c>
      <c r="G1281" s="34">
        <v>45930</v>
      </c>
      <c r="H1281" s="34" t="b">
        <f t="shared" si="42"/>
        <v>1</v>
      </c>
    </row>
    <row r="1282" spans="4:8" ht="29.25" customHeight="1" x14ac:dyDescent="0.3">
      <c r="D1282" s="34">
        <v>45931</v>
      </c>
      <c r="E1282">
        <f t="shared" si="41"/>
        <v>24561</v>
      </c>
      <c r="G1282" s="34">
        <v>45931</v>
      </c>
      <c r="H1282" s="34" t="b">
        <f t="shared" si="42"/>
        <v>1</v>
      </c>
    </row>
    <row r="1283" spans="4:8" ht="29.25" customHeight="1" x14ac:dyDescent="0.3">
      <c r="D1283" s="34">
        <v>45932</v>
      </c>
      <c r="E1283">
        <f t="shared" ref="E1283:E1292" si="43">LOOKUP(D1283,A:A,B:B)</f>
        <v>24561</v>
      </c>
      <c r="G1283" s="34">
        <v>45932</v>
      </c>
      <c r="H1283" s="34" t="b">
        <f t="shared" ref="H1283:H1292" si="44">G1283=D1283</f>
        <v>1</v>
      </c>
    </row>
    <row r="1284" spans="4:8" ht="29.25" customHeight="1" x14ac:dyDescent="0.3">
      <c r="D1284" s="34">
        <v>45933</v>
      </c>
      <c r="E1284">
        <f t="shared" si="43"/>
        <v>24561</v>
      </c>
      <c r="G1284" s="34">
        <v>45933</v>
      </c>
      <c r="H1284" s="34" t="b">
        <f t="shared" si="44"/>
        <v>1</v>
      </c>
    </row>
    <row r="1285" spans="4:8" ht="29.25" customHeight="1" x14ac:dyDescent="0.3">
      <c r="D1285" s="34">
        <v>45936</v>
      </c>
      <c r="E1285">
        <f t="shared" si="43"/>
        <v>24561</v>
      </c>
      <c r="G1285" s="34">
        <v>45936</v>
      </c>
      <c r="H1285" s="34" t="b">
        <f t="shared" si="44"/>
        <v>1</v>
      </c>
    </row>
    <row r="1286" spans="4:8" ht="29.25" customHeight="1" x14ac:dyDescent="0.3">
      <c r="D1286" s="34">
        <v>45937</v>
      </c>
      <c r="E1286">
        <f t="shared" si="43"/>
        <v>24561</v>
      </c>
      <c r="G1286" s="34">
        <v>45937</v>
      </c>
      <c r="H1286" s="34" t="b">
        <f t="shared" si="44"/>
        <v>1</v>
      </c>
    </row>
    <row r="1287" spans="4:8" ht="29.25" customHeight="1" x14ac:dyDescent="0.3">
      <c r="D1287" s="34">
        <v>45938</v>
      </c>
      <c r="E1287">
        <f t="shared" si="43"/>
        <v>23669</v>
      </c>
      <c r="G1287" s="34">
        <v>45938</v>
      </c>
      <c r="H1287" s="34" t="b">
        <f t="shared" si="44"/>
        <v>1</v>
      </c>
    </row>
    <row r="1288" spans="4:8" ht="29.25" customHeight="1" x14ac:dyDescent="0.3">
      <c r="D1288" s="34">
        <v>45939</v>
      </c>
      <c r="E1288">
        <f t="shared" si="43"/>
        <v>23669</v>
      </c>
      <c r="G1288" s="34">
        <v>45939</v>
      </c>
      <c r="H1288" s="34" t="b">
        <f t="shared" si="44"/>
        <v>1</v>
      </c>
    </row>
    <row r="1289" spans="4:8" ht="29.25" customHeight="1" x14ac:dyDescent="0.3">
      <c r="D1289" s="34">
        <v>45940</v>
      </c>
      <c r="E1289">
        <f t="shared" si="43"/>
        <v>23669</v>
      </c>
      <c r="G1289" s="34">
        <v>45940</v>
      </c>
      <c r="H1289" s="34" t="b">
        <f t="shared" si="44"/>
        <v>1</v>
      </c>
    </row>
    <row r="1290" spans="4:8" ht="29.25" customHeight="1" x14ac:dyDescent="0.3">
      <c r="D1290" s="34">
        <v>45943</v>
      </c>
      <c r="E1290">
        <f t="shared" si="43"/>
        <v>23669</v>
      </c>
      <c r="G1290" s="34">
        <v>45943</v>
      </c>
      <c r="H1290" s="34" t="b">
        <f t="shared" si="44"/>
        <v>1</v>
      </c>
    </row>
    <row r="1291" spans="4:8" ht="29.25" customHeight="1" x14ac:dyDescent="0.3">
      <c r="D1291" s="34">
        <v>45944</v>
      </c>
      <c r="E1291">
        <f t="shared" si="43"/>
        <v>23669</v>
      </c>
      <c r="G1291" s="34">
        <v>45944</v>
      </c>
      <c r="H1291" s="34" t="b">
        <f t="shared" si="44"/>
        <v>1</v>
      </c>
    </row>
    <row r="1292" spans="4:8" ht="29.25" customHeight="1" x14ac:dyDescent="0.3">
      <c r="D1292" s="34">
        <v>45945</v>
      </c>
      <c r="E1292">
        <f t="shared" si="43"/>
        <v>25063</v>
      </c>
      <c r="G1292" s="34">
        <v>45945</v>
      </c>
      <c r="H1292" s="34" t="b">
        <f t="shared" si="44"/>
        <v>1</v>
      </c>
    </row>
    <row r="1293" spans="4:8" ht="15" customHeight="1" x14ac:dyDescent="0.3">
      <c r="D1293" s="35">
        <v>45952</v>
      </c>
      <c r="E1293">
        <v>23027</v>
      </c>
    </row>
    <row r="1294" spans="4:8" ht="15" customHeight="1" x14ac:dyDescent="0.3">
      <c r="D1294" s="40">
        <v>45959</v>
      </c>
      <c r="E1294" s="1">
        <v>24781</v>
      </c>
    </row>
    <row r="1295" spans="4:8" ht="15" customHeight="1" x14ac:dyDescent="0.3">
      <c r="D1295" s="35">
        <v>45966</v>
      </c>
      <c r="E1295">
        <v>24482</v>
      </c>
    </row>
    <row r="1296" spans="4:8" ht="15" customHeight="1" x14ac:dyDescent="0.3">
      <c r="D1296" s="35">
        <f t="shared" ref="D1296:D1359" si="45">D1295+1</f>
        <v>45967</v>
      </c>
      <c r="E1296">
        <v>24482</v>
      </c>
    </row>
    <row r="1297" spans="4:5" ht="15" customHeight="1" x14ac:dyDescent="0.3">
      <c r="D1297" s="35">
        <f t="shared" si="45"/>
        <v>45968</v>
      </c>
      <c r="E1297">
        <v>24482</v>
      </c>
    </row>
    <row r="1298" spans="4:5" ht="15" customHeight="1" x14ac:dyDescent="0.3">
      <c r="D1298" s="35">
        <f t="shared" si="45"/>
        <v>45969</v>
      </c>
      <c r="E1298">
        <v>24482</v>
      </c>
    </row>
    <row r="1299" spans="4:5" ht="15" customHeight="1" x14ac:dyDescent="0.3">
      <c r="D1299" s="35">
        <f t="shared" si="45"/>
        <v>45970</v>
      </c>
      <c r="E1299">
        <v>24482</v>
      </c>
    </row>
    <row r="1300" spans="4:5" ht="15" customHeight="1" x14ac:dyDescent="0.3">
      <c r="D1300" s="35">
        <f t="shared" si="45"/>
        <v>45971</v>
      </c>
      <c r="E1300">
        <v>24482</v>
      </c>
    </row>
    <row r="1301" spans="4:5" ht="15" customHeight="1" x14ac:dyDescent="0.3">
      <c r="D1301" s="35">
        <f t="shared" si="45"/>
        <v>45972</v>
      </c>
      <c r="E1301">
        <v>24482</v>
      </c>
    </row>
    <row r="1302" spans="4:5" ht="15" customHeight="1" x14ac:dyDescent="0.3">
      <c r="D1302" s="35">
        <f t="shared" si="45"/>
        <v>45973</v>
      </c>
      <c r="E1302">
        <v>24482</v>
      </c>
    </row>
    <row r="1303" spans="4:5" ht="15" customHeight="1" x14ac:dyDescent="0.3">
      <c r="D1303" s="35">
        <f t="shared" si="45"/>
        <v>45974</v>
      </c>
      <c r="E1303">
        <v>24482</v>
      </c>
    </row>
    <row r="1304" spans="4:5" ht="15" customHeight="1" x14ac:dyDescent="0.3">
      <c r="D1304" s="35">
        <f t="shared" si="45"/>
        <v>45975</v>
      </c>
      <c r="E1304">
        <v>24482</v>
      </c>
    </row>
    <row r="1305" spans="4:5" ht="15" customHeight="1" x14ac:dyDescent="0.3">
      <c r="D1305" s="35">
        <f t="shared" si="45"/>
        <v>45976</v>
      </c>
      <c r="E1305">
        <v>24482</v>
      </c>
    </row>
    <row r="1306" spans="4:5" ht="15" customHeight="1" x14ac:dyDescent="0.3">
      <c r="D1306" s="35">
        <f t="shared" si="45"/>
        <v>45977</v>
      </c>
      <c r="E1306">
        <v>24482</v>
      </c>
    </row>
    <row r="1307" spans="4:5" ht="15" customHeight="1" x14ac:dyDescent="0.3">
      <c r="D1307" s="35">
        <f t="shared" si="45"/>
        <v>45978</v>
      </c>
      <c r="E1307">
        <v>24482</v>
      </c>
    </row>
    <row r="1308" spans="4:5" ht="15" customHeight="1" x14ac:dyDescent="0.3">
      <c r="D1308" s="35">
        <f t="shared" si="45"/>
        <v>45979</v>
      </c>
      <c r="E1308">
        <v>24482</v>
      </c>
    </row>
    <row r="1309" spans="4:5" ht="15" customHeight="1" x14ac:dyDescent="0.3">
      <c r="D1309" s="35">
        <f t="shared" si="45"/>
        <v>45980</v>
      </c>
      <c r="E1309">
        <v>24482</v>
      </c>
    </row>
    <row r="1310" spans="4:5" ht="15" customHeight="1" x14ac:dyDescent="0.3">
      <c r="D1310" s="35">
        <f t="shared" si="45"/>
        <v>45981</v>
      </c>
      <c r="E1310">
        <v>24482</v>
      </c>
    </row>
    <row r="1311" spans="4:5" ht="15" customHeight="1" x14ac:dyDescent="0.3">
      <c r="D1311" s="35">
        <f t="shared" si="45"/>
        <v>45982</v>
      </c>
      <c r="E1311">
        <v>24482</v>
      </c>
    </row>
    <row r="1312" spans="4:5" ht="15" customHeight="1" x14ac:dyDescent="0.3">
      <c r="D1312" s="35">
        <f t="shared" si="45"/>
        <v>45983</v>
      </c>
      <c r="E1312">
        <v>24482</v>
      </c>
    </row>
    <row r="1313" spans="4:5" ht="15" customHeight="1" x14ac:dyDescent="0.3">
      <c r="D1313" s="35">
        <f t="shared" si="45"/>
        <v>45984</v>
      </c>
      <c r="E1313">
        <v>24482</v>
      </c>
    </row>
    <row r="1314" spans="4:5" ht="15" customHeight="1" x14ac:dyDescent="0.3">
      <c r="D1314" s="35">
        <f t="shared" si="45"/>
        <v>45985</v>
      </c>
      <c r="E1314">
        <v>24482</v>
      </c>
    </row>
    <row r="1315" spans="4:5" ht="15" customHeight="1" x14ac:dyDescent="0.3">
      <c r="D1315" s="35">
        <f t="shared" si="45"/>
        <v>45986</v>
      </c>
      <c r="E1315">
        <v>24482</v>
      </c>
    </row>
    <row r="1316" spans="4:5" ht="15" customHeight="1" x14ac:dyDescent="0.3">
      <c r="D1316" s="35">
        <f t="shared" si="45"/>
        <v>45987</v>
      </c>
      <c r="E1316">
        <v>24482</v>
      </c>
    </row>
    <row r="1317" spans="4:5" ht="15" customHeight="1" x14ac:dyDescent="0.3">
      <c r="D1317" s="35">
        <f t="shared" si="45"/>
        <v>45988</v>
      </c>
      <c r="E1317">
        <v>24482</v>
      </c>
    </row>
    <row r="1318" spans="4:5" ht="15" customHeight="1" x14ac:dyDescent="0.3">
      <c r="D1318" s="35">
        <f t="shared" si="45"/>
        <v>45989</v>
      </c>
      <c r="E1318">
        <v>24482</v>
      </c>
    </row>
    <row r="1319" spans="4:5" ht="15" customHeight="1" x14ac:dyDescent="0.3">
      <c r="D1319" s="35">
        <f t="shared" si="45"/>
        <v>45990</v>
      </c>
      <c r="E1319">
        <v>24482</v>
      </c>
    </row>
    <row r="1320" spans="4:5" ht="15" customHeight="1" x14ac:dyDescent="0.3">
      <c r="D1320" s="35">
        <f t="shared" si="45"/>
        <v>45991</v>
      </c>
      <c r="E1320">
        <v>24482</v>
      </c>
    </row>
    <row r="1321" spans="4:5" ht="15" customHeight="1" x14ac:dyDescent="0.3">
      <c r="D1321" s="35">
        <f t="shared" si="45"/>
        <v>45992</v>
      </c>
      <c r="E1321">
        <v>24482</v>
      </c>
    </row>
    <row r="1322" spans="4:5" ht="15" customHeight="1" x14ac:dyDescent="0.3">
      <c r="D1322" s="35">
        <f t="shared" si="45"/>
        <v>45993</v>
      </c>
      <c r="E1322">
        <v>24482</v>
      </c>
    </row>
    <row r="1323" spans="4:5" ht="15" customHeight="1" x14ac:dyDescent="0.3">
      <c r="D1323" s="35">
        <f t="shared" si="45"/>
        <v>45994</v>
      </c>
      <c r="E1323">
        <v>24482</v>
      </c>
    </row>
    <row r="1324" spans="4:5" ht="15" customHeight="1" x14ac:dyDescent="0.3">
      <c r="D1324" s="35">
        <f t="shared" si="45"/>
        <v>45995</v>
      </c>
      <c r="E1324">
        <v>24482</v>
      </c>
    </row>
    <row r="1325" spans="4:5" ht="15" customHeight="1" x14ac:dyDescent="0.3">
      <c r="D1325" s="35">
        <f t="shared" si="45"/>
        <v>45996</v>
      </c>
      <c r="E1325">
        <v>24482</v>
      </c>
    </row>
    <row r="1326" spans="4:5" ht="15" customHeight="1" x14ac:dyDescent="0.3">
      <c r="D1326" s="35">
        <f t="shared" si="45"/>
        <v>45997</v>
      </c>
      <c r="E1326">
        <v>24482</v>
      </c>
    </row>
    <row r="1327" spans="4:5" ht="15" customHeight="1" x14ac:dyDescent="0.3">
      <c r="D1327" s="35">
        <f t="shared" si="45"/>
        <v>45998</v>
      </c>
      <c r="E1327">
        <v>24482</v>
      </c>
    </row>
    <row r="1328" spans="4:5" ht="15" customHeight="1" x14ac:dyDescent="0.3">
      <c r="D1328" s="35">
        <f t="shared" si="45"/>
        <v>45999</v>
      </c>
      <c r="E1328">
        <v>24482</v>
      </c>
    </row>
    <row r="1329" spans="4:5" ht="15" customHeight="1" x14ac:dyDescent="0.3">
      <c r="D1329" s="35">
        <f t="shared" si="45"/>
        <v>46000</v>
      </c>
      <c r="E1329">
        <v>24482</v>
      </c>
    </row>
    <row r="1330" spans="4:5" ht="15" customHeight="1" x14ac:dyDescent="0.3">
      <c r="D1330" s="35">
        <f t="shared" si="45"/>
        <v>46001</v>
      </c>
      <c r="E1330">
        <v>24482</v>
      </c>
    </row>
    <row r="1331" spans="4:5" ht="15" customHeight="1" x14ac:dyDescent="0.3">
      <c r="D1331" s="35">
        <f t="shared" si="45"/>
        <v>46002</v>
      </c>
      <c r="E1331">
        <v>24482</v>
      </c>
    </row>
    <row r="1332" spans="4:5" ht="15" customHeight="1" x14ac:dyDescent="0.3">
      <c r="D1332" s="35">
        <f t="shared" si="45"/>
        <v>46003</v>
      </c>
      <c r="E1332">
        <v>24482</v>
      </c>
    </row>
    <row r="1333" spans="4:5" ht="15" customHeight="1" x14ac:dyDescent="0.3">
      <c r="D1333" s="35">
        <f t="shared" si="45"/>
        <v>46004</v>
      </c>
      <c r="E1333">
        <v>24482</v>
      </c>
    </row>
    <row r="1334" spans="4:5" ht="15" customHeight="1" x14ac:dyDescent="0.3">
      <c r="D1334" s="35">
        <f t="shared" si="45"/>
        <v>46005</v>
      </c>
      <c r="E1334">
        <v>24482</v>
      </c>
    </row>
    <row r="1335" spans="4:5" ht="15" customHeight="1" x14ac:dyDescent="0.3">
      <c r="D1335" s="35">
        <f t="shared" si="45"/>
        <v>46006</v>
      </c>
      <c r="E1335">
        <v>24482</v>
      </c>
    </row>
    <row r="1336" spans="4:5" ht="15" customHeight="1" x14ac:dyDescent="0.3">
      <c r="D1336" s="35">
        <f t="shared" si="45"/>
        <v>46007</v>
      </c>
      <c r="E1336">
        <v>24482</v>
      </c>
    </row>
    <row r="1337" spans="4:5" ht="15" customHeight="1" x14ac:dyDescent="0.3">
      <c r="D1337" s="35">
        <f t="shared" si="45"/>
        <v>46008</v>
      </c>
      <c r="E1337">
        <v>24482</v>
      </c>
    </row>
    <row r="1338" spans="4:5" ht="15" customHeight="1" x14ac:dyDescent="0.3">
      <c r="D1338" s="35">
        <f t="shared" si="45"/>
        <v>46009</v>
      </c>
      <c r="E1338">
        <v>24482</v>
      </c>
    </row>
    <row r="1339" spans="4:5" ht="15" customHeight="1" x14ac:dyDescent="0.3">
      <c r="D1339" s="35">
        <f t="shared" si="45"/>
        <v>46010</v>
      </c>
      <c r="E1339">
        <v>24482</v>
      </c>
    </row>
    <row r="1340" spans="4:5" ht="15" customHeight="1" x14ac:dyDescent="0.3">
      <c r="D1340" s="35">
        <f t="shared" si="45"/>
        <v>46011</v>
      </c>
      <c r="E1340">
        <v>24482</v>
      </c>
    </row>
    <row r="1341" spans="4:5" ht="15" customHeight="1" x14ac:dyDescent="0.3">
      <c r="D1341" s="35">
        <f t="shared" si="45"/>
        <v>46012</v>
      </c>
      <c r="E1341">
        <v>24482</v>
      </c>
    </row>
    <row r="1342" spans="4:5" ht="15" customHeight="1" x14ac:dyDescent="0.3">
      <c r="D1342" s="35">
        <f t="shared" si="45"/>
        <v>46013</v>
      </c>
      <c r="E1342">
        <v>24482</v>
      </c>
    </row>
    <row r="1343" spans="4:5" ht="15" customHeight="1" x14ac:dyDescent="0.3">
      <c r="D1343" s="35">
        <f t="shared" si="45"/>
        <v>46014</v>
      </c>
      <c r="E1343">
        <v>24482</v>
      </c>
    </row>
    <row r="1344" spans="4:5" ht="15" customHeight="1" x14ac:dyDescent="0.3">
      <c r="D1344" s="35">
        <f t="shared" si="45"/>
        <v>46015</v>
      </c>
      <c r="E1344">
        <v>24482</v>
      </c>
    </row>
    <row r="1345" spans="4:5" ht="15" customHeight="1" x14ac:dyDescent="0.3">
      <c r="D1345" s="35">
        <f t="shared" si="45"/>
        <v>46016</v>
      </c>
      <c r="E1345">
        <v>24482</v>
      </c>
    </row>
    <row r="1346" spans="4:5" ht="15" customHeight="1" x14ac:dyDescent="0.3">
      <c r="D1346" s="35">
        <f t="shared" si="45"/>
        <v>46017</v>
      </c>
      <c r="E1346">
        <v>24482</v>
      </c>
    </row>
    <row r="1347" spans="4:5" ht="15" customHeight="1" x14ac:dyDescent="0.3">
      <c r="D1347" s="35">
        <f t="shared" si="45"/>
        <v>46018</v>
      </c>
      <c r="E1347">
        <v>24482</v>
      </c>
    </row>
    <row r="1348" spans="4:5" ht="15" customHeight="1" x14ac:dyDescent="0.3">
      <c r="D1348" s="35">
        <f t="shared" si="45"/>
        <v>46019</v>
      </c>
      <c r="E1348">
        <v>24482</v>
      </c>
    </row>
    <row r="1349" spans="4:5" ht="15" customHeight="1" x14ac:dyDescent="0.3">
      <c r="D1349" s="35">
        <f t="shared" si="45"/>
        <v>46020</v>
      </c>
      <c r="E1349">
        <v>24482</v>
      </c>
    </row>
    <row r="1350" spans="4:5" ht="15" customHeight="1" x14ac:dyDescent="0.3">
      <c r="D1350" s="35">
        <f t="shared" si="45"/>
        <v>46021</v>
      </c>
      <c r="E1350">
        <v>24482</v>
      </c>
    </row>
    <row r="1351" spans="4:5" ht="15" customHeight="1" x14ac:dyDescent="0.3">
      <c r="D1351" s="35">
        <f t="shared" si="45"/>
        <v>46022</v>
      </c>
      <c r="E1351">
        <v>24482</v>
      </c>
    </row>
    <row r="1352" spans="4:5" ht="15" customHeight="1" x14ac:dyDescent="0.3">
      <c r="D1352" s="35">
        <f t="shared" si="45"/>
        <v>46023</v>
      </c>
      <c r="E1352">
        <v>24482</v>
      </c>
    </row>
    <row r="1353" spans="4:5" ht="15" customHeight="1" x14ac:dyDescent="0.3">
      <c r="D1353" s="35">
        <f t="shared" si="45"/>
        <v>46024</v>
      </c>
      <c r="E1353">
        <v>24482</v>
      </c>
    </row>
    <row r="1354" spans="4:5" ht="15" customHeight="1" x14ac:dyDescent="0.3">
      <c r="D1354" s="35">
        <f t="shared" si="45"/>
        <v>46025</v>
      </c>
      <c r="E1354">
        <v>24482</v>
      </c>
    </row>
    <row r="1355" spans="4:5" ht="15" customHeight="1" x14ac:dyDescent="0.3">
      <c r="D1355" s="35">
        <f t="shared" si="45"/>
        <v>46026</v>
      </c>
      <c r="E1355">
        <v>24482</v>
      </c>
    </row>
    <row r="1356" spans="4:5" ht="15" customHeight="1" x14ac:dyDescent="0.3">
      <c r="D1356" s="35">
        <f t="shared" si="45"/>
        <v>46027</v>
      </c>
      <c r="E1356">
        <v>24482</v>
      </c>
    </row>
    <row r="1357" spans="4:5" ht="15" customHeight="1" x14ac:dyDescent="0.3">
      <c r="D1357" s="35">
        <f t="shared" si="45"/>
        <v>46028</v>
      </c>
      <c r="E1357">
        <v>24482</v>
      </c>
    </row>
    <row r="1358" spans="4:5" ht="15" customHeight="1" x14ac:dyDescent="0.3">
      <c r="D1358" s="35">
        <f t="shared" si="45"/>
        <v>46029</v>
      </c>
      <c r="E1358">
        <v>24482</v>
      </c>
    </row>
    <row r="1359" spans="4:5" ht="15" customHeight="1" x14ac:dyDescent="0.3">
      <c r="D1359" s="35">
        <f t="shared" si="45"/>
        <v>46030</v>
      </c>
      <c r="E1359">
        <v>24482</v>
      </c>
    </row>
    <row r="1360" spans="4:5" ht="15" customHeight="1" x14ac:dyDescent="0.3">
      <c r="D1360" s="35">
        <f t="shared" ref="D1360:D1423" si="46">D1359+1</f>
        <v>46031</v>
      </c>
      <c r="E1360">
        <v>24482</v>
      </c>
    </row>
    <row r="1361" spans="4:5" ht="15" customHeight="1" x14ac:dyDescent="0.3">
      <c r="D1361" s="35">
        <f t="shared" si="46"/>
        <v>46032</v>
      </c>
      <c r="E1361">
        <v>24482</v>
      </c>
    </row>
    <row r="1362" spans="4:5" ht="15" customHeight="1" x14ac:dyDescent="0.3">
      <c r="D1362" s="35">
        <f t="shared" si="46"/>
        <v>46033</v>
      </c>
      <c r="E1362">
        <v>24482</v>
      </c>
    </row>
    <row r="1363" spans="4:5" ht="15" customHeight="1" x14ac:dyDescent="0.3">
      <c r="D1363" s="35">
        <f t="shared" si="46"/>
        <v>46034</v>
      </c>
      <c r="E1363">
        <v>24482</v>
      </c>
    </row>
    <row r="1364" spans="4:5" ht="15" customHeight="1" x14ac:dyDescent="0.3">
      <c r="D1364" s="35">
        <f t="shared" si="46"/>
        <v>46035</v>
      </c>
      <c r="E1364">
        <v>24482</v>
      </c>
    </row>
    <row r="1365" spans="4:5" ht="15" customHeight="1" x14ac:dyDescent="0.3">
      <c r="D1365" s="35">
        <f t="shared" si="46"/>
        <v>46036</v>
      </c>
      <c r="E1365">
        <v>24482</v>
      </c>
    </row>
    <row r="1366" spans="4:5" ht="15" customHeight="1" x14ac:dyDescent="0.3">
      <c r="D1366" s="35">
        <f t="shared" si="46"/>
        <v>46037</v>
      </c>
      <c r="E1366">
        <v>24482</v>
      </c>
    </row>
    <row r="1367" spans="4:5" ht="15" customHeight="1" x14ac:dyDescent="0.3">
      <c r="D1367" s="35">
        <f t="shared" si="46"/>
        <v>46038</v>
      </c>
      <c r="E1367">
        <v>24482</v>
      </c>
    </row>
    <row r="1368" spans="4:5" ht="15" customHeight="1" x14ac:dyDescent="0.3">
      <c r="D1368" s="35">
        <f t="shared" si="46"/>
        <v>46039</v>
      </c>
      <c r="E1368">
        <v>24482</v>
      </c>
    </row>
    <row r="1369" spans="4:5" ht="15" customHeight="1" x14ac:dyDescent="0.3">
      <c r="D1369" s="35">
        <f t="shared" si="46"/>
        <v>46040</v>
      </c>
      <c r="E1369">
        <v>24482</v>
      </c>
    </row>
    <row r="1370" spans="4:5" ht="15" customHeight="1" x14ac:dyDescent="0.3">
      <c r="D1370" s="35">
        <f t="shared" si="46"/>
        <v>46041</v>
      </c>
      <c r="E1370">
        <v>24482</v>
      </c>
    </row>
    <row r="1371" spans="4:5" ht="15" customHeight="1" x14ac:dyDescent="0.3">
      <c r="D1371" s="35">
        <f t="shared" si="46"/>
        <v>46042</v>
      </c>
      <c r="E1371">
        <v>24482</v>
      </c>
    </row>
    <row r="1372" spans="4:5" ht="15" customHeight="1" x14ac:dyDescent="0.3">
      <c r="D1372" s="35">
        <f t="shared" si="46"/>
        <v>46043</v>
      </c>
      <c r="E1372">
        <v>24482</v>
      </c>
    </row>
    <row r="1373" spans="4:5" ht="15" customHeight="1" x14ac:dyDescent="0.3">
      <c r="D1373" s="35">
        <f t="shared" si="46"/>
        <v>46044</v>
      </c>
      <c r="E1373">
        <v>24482</v>
      </c>
    </row>
    <row r="1374" spans="4:5" ht="15" customHeight="1" x14ac:dyDescent="0.3">
      <c r="D1374" s="35">
        <f t="shared" si="46"/>
        <v>46045</v>
      </c>
      <c r="E1374">
        <v>24482</v>
      </c>
    </row>
    <row r="1375" spans="4:5" ht="15" customHeight="1" x14ac:dyDescent="0.3">
      <c r="D1375" s="35">
        <f t="shared" si="46"/>
        <v>46046</v>
      </c>
      <c r="E1375">
        <v>24482</v>
      </c>
    </row>
    <row r="1376" spans="4:5" ht="15" customHeight="1" x14ac:dyDescent="0.3">
      <c r="D1376" s="35">
        <f t="shared" si="46"/>
        <v>46047</v>
      </c>
      <c r="E1376">
        <v>24482</v>
      </c>
    </row>
    <row r="1377" spans="4:5" ht="15" customHeight="1" x14ac:dyDescent="0.3">
      <c r="D1377" s="35">
        <f t="shared" si="46"/>
        <v>46048</v>
      </c>
      <c r="E1377">
        <v>24482</v>
      </c>
    </row>
    <row r="1378" spans="4:5" ht="15" customHeight="1" x14ac:dyDescent="0.3">
      <c r="D1378" s="35">
        <f t="shared" si="46"/>
        <v>46049</v>
      </c>
      <c r="E1378">
        <v>24482</v>
      </c>
    </row>
    <row r="1379" spans="4:5" ht="15" customHeight="1" x14ac:dyDescent="0.3">
      <c r="D1379" s="35">
        <f t="shared" si="46"/>
        <v>46050</v>
      </c>
      <c r="E1379">
        <v>24482</v>
      </c>
    </row>
    <row r="1380" spans="4:5" ht="15" customHeight="1" x14ac:dyDescent="0.3">
      <c r="D1380" s="35">
        <f t="shared" si="46"/>
        <v>46051</v>
      </c>
      <c r="E1380">
        <v>24482</v>
      </c>
    </row>
    <row r="1381" spans="4:5" ht="15" customHeight="1" x14ac:dyDescent="0.3">
      <c r="D1381" s="35">
        <f t="shared" si="46"/>
        <v>46052</v>
      </c>
      <c r="E1381">
        <v>24482</v>
      </c>
    </row>
    <row r="1382" spans="4:5" ht="15" customHeight="1" x14ac:dyDescent="0.3">
      <c r="D1382" s="35">
        <f t="shared" si="46"/>
        <v>46053</v>
      </c>
      <c r="E1382">
        <v>24482</v>
      </c>
    </row>
    <row r="1383" spans="4:5" ht="15" customHeight="1" x14ac:dyDescent="0.3">
      <c r="D1383" s="35">
        <f t="shared" si="46"/>
        <v>46054</v>
      </c>
      <c r="E1383">
        <v>24482</v>
      </c>
    </row>
    <row r="1384" spans="4:5" ht="15" customHeight="1" x14ac:dyDescent="0.3">
      <c r="D1384" s="35">
        <f t="shared" si="46"/>
        <v>46055</v>
      </c>
      <c r="E1384">
        <v>24482</v>
      </c>
    </row>
    <row r="1385" spans="4:5" ht="15" customHeight="1" x14ac:dyDescent="0.3">
      <c r="D1385" s="35">
        <f t="shared" si="46"/>
        <v>46056</v>
      </c>
      <c r="E1385">
        <v>24482</v>
      </c>
    </row>
    <row r="1386" spans="4:5" ht="15" customHeight="1" x14ac:dyDescent="0.3">
      <c r="D1386" s="35">
        <f t="shared" si="46"/>
        <v>46057</v>
      </c>
      <c r="E1386">
        <v>24482</v>
      </c>
    </row>
    <row r="1387" spans="4:5" ht="15" customHeight="1" x14ac:dyDescent="0.3">
      <c r="D1387" s="35">
        <f t="shared" si="46"/>
        <v>46058</v>
      </c>
      <c r="E1387">
        <v>24482</v>
      </c>
    </row>
    <row r="1388" spans="4:5" ht="15" customHeight="1" x14ac:dyDescent="0.3">
      <c r="D1388" s="35">
        <f t="shared" si="46"/>
        <v>46059</v>
      </c>
      <c r="E1388">
        <v>24482</v>
      </c>
    </row>
    <row r="1389" spans="4:5" ht="15" customHeight="1" x14ac:dyDescent="0.3">
      <c r="D1389" s="35">
        <f t="shared" si="46"/>
        <v>46060</v>
      </c>
      <c r="E1389">
        <v>24482</v>
      </c>
    </row>
    <row r="1390" spans="4:5" ht="15" customHeight="1" x14ac:dyDescent="0.3">
      <c r="D1390" s="35">
        <f t="shared" si="46"/>
        <v>46061</v>
      </c>
      <c r="E1390">
        <v>24482</v>
      </c>
    </row>
    <row r="1391" spans="4:5" ht="15" customHeight="1" x14ac:dyDescent="0.3">
      <c r="D1391" s="35">
        <f t="shared" si="46"/>
        <v>46062</v>
      </c>
      <c r="E1391">
        <v>24482</v>
      </c>
    </row>
    <row r="1392" spans="4:5" ht="15" customHeight="1" x14ac:dyDescent="0.3">
      <c r="D1392" s="35">
        <f t="shared" si="46"/>
        <v>46063</v>
      </c>
      <c r="E1392">
        <v>24482</v>
      </c>
    </row>
    <row r="1393" spans="4:5" ht="15" customHeight="1" x14ac:dyDescent="0.3">
      <c r="D1393" s="35">
        <f t="shared" si="46"/>
        <v>46064</v>
      </c>
      <c r="E1393">
        <v>24482</v>
      </c>
    </row>
    <row r="1394" spans="4:5" ht="15" customHeight="1" x14ac:dyDescent="0.3">
      <c r="D1394" s="35">
        <f t="shared" si="46"/>
        <v>46065</v>
      </c>
      <c r="E1394">
        <v>24482</v>
      </c>
    </row>
    <row r="1395" spans="4:5" ht="15" customHeight="1" x14ac:dyDescent="0.3">
      <c r="D1395" s="35">
        <f t="shared" si="46"/>
        <v>46066</v>
      </c>
      <c r="E1395">
        <v>24482</v>
      </c>
    </row>
    <row r="1396" spans="4:5" ht="15" customHeight="1" x14ac:dyDescent="0.3">
      <c r="D1396" s="35">
        <f t="shared" si="46"/>
        <v>46067</v>
      </c>
      <c r="E1396">
        <v>24482</v>
      </c>
    </row>
    <row r="1397" spans="4:5" ht="15" customHeight="1" x14ac:dyDescent="0.3">
      <c r="D1397" s="35">
        <f t="shared" si="46"/>
        <v>46068</v>
      </c>
      <c r="E1397">
        <v>24482</v>
      </c>
    </row>
    <row r="1398" spans="4:5" ht="15" customHeight="1" x14ac:dyDescent="0.3">
      <c r="D1398" s="35">
        <f t="shared" si="46"/>
        <v>46069</v>
      </c>
      <c r="E1398">
        <v>24482</v>
      </c>
    </row>
    <row r="1399" spans="4:5" ht="15" customHeight="1" x14ac:dyDescent="0.3">
      <c r="D1399" s="35">
        <f t="shared" si="46"/>
        <v>46070</v>
      </c>
      <c r="E1399">
        <v>24482</v>
      </c>
    </row>
    <row r="1400" spans="4:5" ht="15" customHeight="1" x14ac:dyDescent="0.3">
      <c r="D1400" s="35">
        <f t="shared" si="46"/>
        <v>46071</v>
      </c>
      <c r="E1400">
        <v>24482</v>
      </c>
    </row>
    <row r="1401" spans="4:5" ht="15" customHeight="1" x14ac:dyDescent="0.3">
      <c r="D1401" s="35">
        <f t="shared" si="46"/>
        <v>46072</v>
      </c>
      <c r="E1401">
        <v>24482</v>
      </c>
    </row>
    <row r="1402" spans="4:5" ht="15" customHeight="1" x14ac:dyDescent="0.3">
      <c r="D1402" s="35">
        <f t="shared" si="46"/>
        <v>46073</v>
      </c>
      <c r="E1402">
        <v>24482</v>
      </c>
    </row>
    <row r="1403" spans="4:5" ht="15" customHeight="1" x14ac:dyDescent="0.3">
      <c r="D1403" s="35">
        <f t="shared" si="46"/>
        <v>46074</v>
      </c>
      <c r="E1403">
        <v>24482</v>
      </c>
    </row>
    <row r="1404" spans="4:5" ht="15" customHeight="1" x14ac:dyDescent="0.3">
      <c r="D1404" s="35">
        <f t="shared" si="46"/>
        <v>46075</v>
      </c>
      <c r="E1404">
        <v>24482</v>
      </c>
    </row>
    <row r="1405" spans="4:5" ht="15" customHeight="1" x14ac:dyDescent="0.3">
      <c r="D1405" s="35">
        <f t="shared" si="46"/>
        <v>46076</v>
      </c>
      <c r="E1405">
        <v>24482</v>
      </c>
    </row>
    <row r="1406" spans="4:5" ht="15" customHeight="1" x14ac:dyDescent="0.3">
      <c r="D1406" s="35">
        <f t="shared" si="46"/>
        <v>46077</v>
      </c>
      <c r="E1406">
        <v>24482</v>
      </c>
    </row>
    <row r="1407" spans="4:5" ht="15" customHeight="1" x14ac:dyDescent="0.3">
      <c r="D1407" s="35">
        <f t="shared" si="46"/>
        <v>46078</v>
      </c>
      <c r="E1407">
        <v>24482</v>
      </c>
    </row>
    <row r="1408" spans="4:5" ht="15" customHeight="1" x14ac:dyDescent="0.3">
      <c r="D1408" s="35">
        <f t="shared" si="46"/>
        <v>46079</v>
      </c>
      <c r="E1408">
        <v>24482</v>
      </c>
    </row>
    <row r="1409" spans="4:5" ht="15" customHeight="1" x14ac:dyDescent="0.3">
      <c r="D1409" s="35">
        <f t="shared" si="46"/>
        <v>46080</v>
      </c>
      <c r="E1409">
        <v>24482</v>
      </c>
    </row>
    <row r="1410" spans="4:5" ht="15" customHeight="1" x14ac:dyDescent="0.3">
      <c r="D1410" s="35">
        <f t="shared" si="46"/>
        <v>46081</v>
      </c>
      <c r="E1410">
        <v>24482</v>
      </c>
    </row>
    <row r="1411" spans="4:5" ht="15" customHeight="1" x14ac:dyDescent="0.3">
      <c r="D1411" s="35">
        <f t="shared" si="46"/>
        <v>46082</v>
      </c>
      <c r="E1411">
        <v>24482</v>
      </c>
    </row>
    <row r="1412" spans="4:5" ht="15" customHeight="1" x14ac:dyDescent="0.3">
      <c r="D1412" s="35">
        <f t="shared" si="46"/>
        <v>46083</v>
      </c>
      <c r="E1412">
        <v>24482</v>
      </c>
    </row>
    <row r="1413" spans="4:5" ht="15" customHeight="1" x14ac:dyDescent="0.3">
      <c r="D1413" s="35">
        <f t="shared" si="46"/>
        <v>46084</v>
      </c>
      <c r="E1413">
        <v>24482</v>
      </c>
    </row>
    <row r="1414" spans="4:5" ht="15" customHeight="1" x14ac:dyDescent="0.3">
      <c r="D1414" s="35">
        <f t="shared" si="46"/>
        <v>46085</v>
      </c>
      <c r="E1414">
        <v>24482</v>
      </c>
    </row>
    <row r="1415" spans="4:5" ht="15" customHeight="1" x14ac:dyDescent="0.3">
      <c r="D1415" s="35">
        <f t="shared" si="46"/>
        <v>46086</v>
      </c>
      <c r="E1415">
        <v>24482</v>
      </c>
    </row>
    <row r="1416" spans="4:5" ht="15" customHeight="1" x14ac:dyDescent="0.3">
      <c r="D1416" s="35">
        <f t="shared" si="46"/>
        <v>46087</v>
      </c>
      <c r="E1416">
        <v>24482</v>
      </c>
    </row>
    <row r="1417" spans="4:5" ht="15" customHeight="1" x14ac:dyDescent="0.3">
      <c r="D1417" s="35">
        <f t="shared" si="46"/>
        <v>46088</v>
      </c>
      <c r="E1417">
        <v>24482</v>
      </c>
    </row>
    <row r="1418" spans="4:5" ht="15" customHeight="1" x14ac:dyDescent="0.3">
      <c r="D1418" s="35">
        <f t="shared" si="46"/>
        <v>46089</v>
      </c>
      <c r="E1418">
        <v>24482</v>
      </c>
    </row>
    <row r="1419" spans="4:5" ht="15" customHeight="1" x14ac:dyDescent="0.3">
      <c r="D1419" s="35">
        <f t="shared" si="46"/>
        <v>46090</v>
      </c>
      <c r="E1419">
        <v>24482</v>
      </c>
    </row>
    <row r="1420" spans="4:5" ht="15" customHeight="1" x14ac:dyDescent="0.3">
      <c r="D1420" s="35">
        <f t="shared" si="46"/>
        <v>46091</v>
      </c>
      <c r="E1420">
        <v>24482</v>
      </c>
    </row>
    <row r="1421" spans="4:5" ht="15" customHeight="1" x14ac:dyDescent="0.3">
      <c r="D1421" s="35">
        <f t="shared" si="46"/>
        <v>46092</v>
      </c>
      <c r="E1421">
        <v>24482</v>
      </c>
    </row>
    <row r="1422" spans="4:5" ht="15" customHeight="1" x14ac:dyDescent="0.3">
      <c r="D1422" s="35">
        <f t="shared" si="46"/>
        <v>46093</v>
      </c>
      <c r="E1422">
        <v>24482</v>
      </c>
    </row>
    <row r="1423" spans="4:5" ht="15" customHeight="1" x14ac:dyDescent="0.3">
      <c r="D1423" s="35">
        <f t="shared" si="46"/>
        <v>46094</v>
      </c>
      <c r="E1423">
        <v>24482</v>
      </c>
    </row>
    <row r="1424" spans="4:5" ht="15" customHeight="1" x14ac:dyDescent="0.3">
      <c r="D1424" s="35">
        <f t="shared" ref="D1424:D1487" si="47">D1423+1</f>
        <v>46095</v>
      </c>
      <c r="E1424">
        <v>24482</v>
      </c>
    </row>
    <row r="1425" spans="4:5" ht="15" customHeight="1" x14ac:dyDescent="0.3">
      <c r="D1425" s="35">
        <f t="shared" si="47"/>
        <v>46096</v>
      </c>
      <c r="E1425">
        <v>24482</v>
      </c>
    </row>
    <row r="1426" spans="4:5" ht="15" customHeight="1" x14ac:dyDescent="0.3">
      <c r="D1426" s="35">
        <f t="shared" si="47"/>
        <v>46097</v>
      </c>
      <c r="E1426">
        <v>24482</v>
      </c>
    </row>
    <row r="1427" spans="4:5" ht="15" customHeight="1" x14ac:dyDescent="0.3">
      <c r="D1427" s="35">
        <f t="shared" si="47"/>
        <v>46098</v>
      </c>
      <c r="E1427">
        <v>24482</v>
      </c>
    </row>
    <row r="1428" spans="4:5" ht="15" customHeight="1" x14ac:dyDescent="0.3">
      <c r="D1428" s="35">
        <f t="shared" si="47"/>
        <v>46099</v>
      </c>
      <c r="E1428">
        <v>24482</v>
      </c>
    </row>
    <row r="1429" spans="4:5" ht="15" customHeight="1" x14ac:dyDescent="0.3">
      <c r="D1429" s="35">
        <f t="shared" si="47"/>
        <v>46100</v>
      </c>
      <c r="E1429">
        <v>24482</v>
      </c>
    </row>
    <row r="1430" spans="4:5" ht="15" customHeight="1" x14ac:dyDescent="0.3">
      <c r="D1430" s="35">
        <f t="shared" si="47"/>
        <v>46101</v>
      </c>
      <c r="E1430">
        <v>24482</v>
      </c>
    </row>
    <row r="1431" spans="4:5" ht="15" customHeight="1" x14ac:dyDescent="0.3">
      <c r="D1431" s="35">
        <f t="shared" si="47"/>
        <v>46102</v>
      </c>
      <c r="E1431">
        <v>24482</v>
      </c>
    </row>
    <row r="1432" spans="4:5" ht="15" customHeight="1" x14ac:dyDescent="0.3">
      <c r="D1432" s="35">
        <f t="shared" si="47"/>
        <v>46103</v>
      </c>
      <c r="E1432">
        <v>24482</v>
      </c>
    </row>
    <row r="1433" spans="4:5" ht="15" customHeight="1" x14ac:dyDescent="0.3">
      <c r="D1433" s="35">
        <f t="shared" si="47"/>
        <v>46104</v>
      </c>
      <c r="E1433">
        <v>24482</v>
      </c>
    </row>
    <row r="1434" spans="4:5" ht="15" customHeight="1" x14ac:dyDescent="0.3">
      <c r="D1434" s="35">
        <f t="shared" si="47"/>
        <v>46105</v>
      </c>
      <c r="E1434">
        <v>24482</v>
      </c>
    </row>
    <row r="1435" spans="4:5" ht="15" customHeight="1" x14ac:dyDescent="0.3">
      <c r="D1435" s="35">
        <f t="shared" si="47"/>
        <v>46106</v>
      </c>
      <c r="E1435">
        <v>24482</v>
      </c>
    </row>
    <row r="1436" spans="4:5" ht="15" customHeight="1" x14ac:dyDescent="0.3">
      <c r="D1436" s="35">
        <f t="shared" si="47"/>
        <v>46107</v>
      </c>
      <c r="E1436">
        <v>24482</v>
      </c>
    </row>
    <row r="1437" spans="4:5" ht="15" customHeight="1" x14ac:dyDescent="0.3">
      <c r="D1437" s="35">
        <f t="shared" si="47"/>
        <v>46108</v>
      </c>
      <c r="E1437">
        <v>24482</v>
      </c>
    </row>
    <row r="1438" spans="4:5" ht="15" customHeight="1" x14ac:dyDescent="0.3">
      <c r="D1438" s="35">
        <f t="shared" si="47"/>
        <v>46109</v>
      </c>
      <c r="E1438">
        <v>24482</v>
      </c>
    </row>
    <row r="1439" spans="4:5" ht="15" customHeight="1" x14ac:dyDescent="0.3">
      <c r="D1439" s="35">
        <f t="shared" si="47"/>
        <v>46110</v>
      </c>
      <c r="E1439">
        <v>24482</v>
      </c>
    </row>
    <row r="1440" spans="4:5" ht="15" customHeight="1" x14ac:dyDescent="0.3">
      <c r="D1440" s="35">
        <f t="shared" si="47"/>
        <v>46111</v>
      </c>
      <c r="E1440">
        <v>24482</v>
      </c>
    </row>
    <row r="1441" spans="4:5" ht="15" customHeight="1" x14ac:dyDescent="0.3">
      <c r="D1441" s="35">
        <f t="shared" si="47"/>
        <v>46112</v>
      </c>
      <c r="E1441">
        <v>24482</v>
      </c>
    </row>
    <row r="1442" spans="4:5" ht="15" customHeight="1" x14ac:dyDescent="0.3">
      <c r="D1442" s="35">
        <f t="shared" si="47"/>
        <v>46113</v>
      </c>
      <c r="E1442">
        <v>24482</v>
      </c>
    </row>
    <row r="1443" spans="4:5" ht="15" customHeight="1" x14ac:dyDescent="0.3">
      <c r="D1443" s="35">
        <f t="shared" si="47"/>
        <v>46114</v>
      </c>
      <c r="E1443">
        <v>24482</v>
      </c>
    </row>
    <row r="1444" spans="4:5" ht="15" customHeight="1" x14ac:dyDescent="0.3">
      <c r="D1444" s="35">
        <f t="shared" si="47"/>
        <v>46115</v>
      </c>
      <c r="E1444">
        <v>24482</v>
      </c>
    </row>
    <row r="1445" spans="4:5" ht="15" customHeight="1" x14ac:dyDescent="0.3">
      <c r="D1445" s="35">
        <f t="shared" si="47"/>
        <v>46116</v>
      </c>
      <c r="E1445">
        <v>24482</v>
      </c>
    </row>
    <row r="1446" spans="4:5" ht="15" customHeight="1" x14ac:dyDescent="0.3">
      <c r="D1446" s="35">
        <f t="shared" si="47"/>
        <v>46117</v>
      </c>
      <c r="E1446">
        <v>24482</v>
      </c>
    </row>
    <row r="1447" spans="4:5" ht="15" customHeight="1" x14ac:dyDescent="0.3">
      <c r="D1447" s="35">
        <f t="shared" si="47"/>
        <v>46118</v>
      </c>
      <c r="E1447">
        <v>24482</v>
      </c>
    </row>
    <row r="1448" spans="4:5" ht="15" customHeight="1" x14ac:dyDescent="0.3">
      <c r="D1448" s="35">
        <f t="shared" si="47"/>
        <v>46119</v>
      </c>
      <c r="E1448">
        <v>24482</v>
      </c>
    </row>
    <row r="1449" spans="4:5" ht="15" customHeight="1" x14ac:dyDescent="0.3">
      <c r="D1449" s="35">
        <f t="shared" si="47"/>
        <v>46120</v>
      </c>
      <c r="E1449">
        <v>24482</v>
      </c>
    </row>
    <row r="1450" spans="4:5" ht="15" customHeight="1" x14ac:dyDescent="0.3">
      <c r="D1450" s="35">
        <f t="shared" si="47"/>
        <v>46121</v>
      </c>
      <c r="E1450">
        <v>24482</v>
      </c>
    </row>
    <row r="1451" spans="4:5" ht="15" customHeight="1" x14ac:dyDescent="0.3">
      <c r="D1451" s="35">
        <f t="shared" si="47"/>
        <v>46122</v>
      </c>
      <c r="E1451">
        <v>24482</v>
      </c>
    </row>
    <row r="1452" spans="4:5" ht="15" customHeight="1" x14ac:dyDescent="0.3">
      <c r="D1452" s="35">
        <f t="shared" si="47"/>
        <v>46123</v>
      </c>
      <c r="E1452">
        <v>24482</v>
      </c>
    </row>
    <row r="1453" spans="4:5" ht="15" customHeight="1" x14ac:dyDescent="0.3">
      <c r="D1453" s="35">
        <f t="shared" si="47"/>
        <v>46124</v>
      </c>
      <c r="E1453">
        <v>24482</v>
      </c>
    </row>
    <row r="1454" spans="4:5" ht="15" customHeight="1" x14ac:dyDescent="0.3">
      <c r="D1454" s="35">
        <f t="shared" si="47"/>
        <v>46125</v>
      </c>
      <c r="E1454">
        <v>24482</v>
      </c>
    </row>
    <row r="1455" spans="4:5" ht="15" customHeight="1" x14ac:dyDescent="0.3">
      <c r="D1455" s="35">
        <f t="shared" si="47"/>
        <v>46126</v>
      </c>
      <c r="E1455">
        <v>24482</v>
      </c>
    </row>
    <row r="1456" spans="4:5" ht="15" customHeight="1" x14ac:dyDescent="0.3">
      <c r="D1456" s="35">
        <f t="shared" si="47"/>
        <v>46127</v>
      </c>
      <c r="E1456">
        <v>24482</v>
      </c>
    </row>
    <row r="1457" spans="4:5" ht="15" customHeight="1" x14ac:dyDescent="0.3">
      <c r="D1457" s="35">
        <f t="shared" si="47"/>
        <v>46128</v>
      </c>
      <c r="E1457">
        <v>24482</v>
      </c>
    </row>
    <row r="1458" spans="4:5" ht="15" customHeight="1" x14ac:dyDescent="0.3">
      <c r="D1458" s="35">
        <f t="shared" si="47"/>
        <v>46129</v>
      </c>
      <c r="E1458">
        <v>24482</v>
      </c>
    </row>
    <row r="1459" spans="4:5" ht="15" customHeight="1" x14ac:dyDescent="0.3">
      <c r="D1459" s="35">
        <f t="shared" si="47"/>
        <v>46130</v>
      </c>
      <c r="E1459">
        <v>24482</v>
      </c>
    </row>
    <row r="1460" spans="4:5" ht="15" customHeight="1" x14ac:dyDescent="0.3">
      <c r="D1460" s="35">
        <f t="shared" si="47"/>
        <v>46131</v>
      </c>
      <c r="E1460">
        <v>24482</v>
      </c>
    </row>
    <row r="1461" spans="4:5" ht="15" customHeight="1" x14ac:dyDescent="0.3">
      <c r="D1461" s="35">
        <f t="shared" si="47"/>
        <v>46132</v>
      </c>
      <c r="E1461">
        <v>24482</v>
      </c>
    </row>
    <row r="1462" spans="4:5" ht="15" customHeight="1" x14ac:dyDescent="0.3">
      <c r="D1462" s="35">
        <f t="shared" si="47"/>
        <v>46133</v>
      </c>
      <c r="E1462">
        <v>24482</v>
      </c>
    </row>
    <row r="1463" spans="4:5" ht="15" customHeight="1" x14ac:dyDescent="0.3">
      <c r="D1463" s="35">
        <f t="shared" si="47"/>
        <v>46134</v>
      </c>
      <c r="E1463">
        <v>24482</v>
      </c>
    </row>
    <row r="1464" spans="4:5" ht="15" customHeight="1" x14ac:dyDescent="0.3">
      <c r="D1464" s="35">
        <f t="shared" si="47"/>
        <v>46135</v>
      </c>
      <c r="E1464">
        <v>24482</v>
      </c>
    </row>
    <row r="1465" spans="4:5" ht="15" customHeight="1" x14ac:dyDescent="0.3">
      <c r="D1465" s="35">
        <f t="shared" si="47"/>
        <v>46136</v>
      </c>
      <c r="E1465">
        <v>24482</v>
      </c>
    </row>
    <row r="1466" spans="4:5" ht="15" customHeight="1" x14ac:dyDescent="0.3">
      <c r="D1466" s="35">
        <f t="shared" si="47"/>
        <v>46137</v>
      </c>
      <c r="E1466">
        <v>24482</v>
      </c>
    </row>
    <row r="1467" spans="4:5" ht="15" customHeight="1" x14ac:dyDescent="0.3">
      <c r="D1467" s="35">
        <f t="shared" si="47"/>
        <v>46138</v>
      </c>
      <c r="E1467">
        <v>24482</v>
      </c>
    </row>
    <row r="1468" spans="4:5" ht="15" customHeight="1" x14ac:dyDescent="0.3">
      <c r="D1468" s="35">
        <f t="shared" si="47"/>
        <v>46139</v>
      </c>
      <c r="E1468">
        <v>24482</v>
      </c>
    </row>
    <row r="1469" spans="4:5" ht="15" customHeight="1" x14ac:dyDescent="0.3">
      <c r="D1469" s="35">
        <f t="shared" si="47"/>
        <v>46140</v>
      </c>
      <c r="E1469">
        <v>24482</v>
      </c>
    </row>
    <row r="1470" spans="4:5" ht="15" customHeight="1" x14ac:dyDescent="0.3">
      <c r="D1470" s="35">
        <f t="shared" si="47"/>
        <v>46141</v>
      </c>
      <c r="E1470">
        <v>24482</v>
      </c>
    </row>
    <row r="1471" spans="4:5" ht="15" customHeight="1" x14ac:dyDescent="0.3">
      <c r="D1471" s="35">
        <f t="shared" si="47"/>
        <v>46142</v>
      </c>
      <c r="E1471">
        <v>24482</v>
      </c>
    </row>
    <row r="1472" spans="4:5" ht="15" customHeight="1" x14ac:dyDescent="0.3">
      <c r="D1472" s="35">
        <f t="shared" si="47"/>
        <v>46143</v>
      </c>
      <c r="E1472">
        <v>24482</v>
      </c>
    </row>
    <row r="1473" spans="4:5" ht="15" customHeight="1" x14ac:dyDescent="0.3">
      <c r="D1473" s="35">
        <f t="shared" si="47"/>
        <v>46144</v>
      </c>
      <c r="E1473">
        <v>24482</v>
      </c>
    </row>
    <row r="1474" spans="4:5" ht="15" customHeight="1" x14ac:dyDescent="0.3">
      <c r="D1474" s="35">
        <f t="shared" si="47"/>
        <v>46145</v>
      </c>
      <c r="E1474">
        <v>24482</v>
      </c>
    </row>
    <row r="1475" spans="4:5" ht="15" customHeight="1" x14ac:dyDescent="0.3">
      <c r="D1475" s="35">
        <f t="shared" si="47"/>
        <v>46146</v>
      </c>
      <c r="E1475">
        <v>24482</v>
      </c>
    </row>
    <row r="1476" spans="4:5" ht="15" customHeight="1" x14ac:dyDescent="0.3">
      <c r="D1476" s="35">
        <f t="shared" si="47"/>
        <v>46147</v>
      </c>
      <c r="E1476">
        <v>24482</v>
      </c>
    </row>
    <row r="1477" spans="4:5" ht="15" customHeight="1" x14ac:dyDescent="0.3">
      <c r="D1477" s="35">
        <f t="shared" si="47"/>
        <v>46148</v>
      </c>
      <c r="E1477">
        <v>24482</v>
      </c>
    </row>
    <row r="1478" spans="4:5" ht="15" customHeight="1" x14ac:dyDescent="0.3">
      <c r="D1478" s="35">
        <f t="shared" si="47"/>
        <v>46149</v>
      </c>
      <c r="E1478">
        <v>24482</v>
      </c>
    </row>
    <row r="1479" spans="4:5" ht="15" customHeight="1" x14ac:dyDescent="0.3">
      <c r="D1479" s="35">
        <f t="shared" si="47"/>
        <v>46150</v>
      </c>
      <c r="E1479">
        <v>24482</v>
      </c>
    </row>
    <row r="1480" spans="4:5" ht="15" customHeight="1" x14ac:dyDescent="0.3">
      <c r="D1480" s="35">
        <f t="shared" si="47"/>
        <v>46151</v>
      </c>
      <c r="E1480">
        <v>24482</v>
      </c>
    </row>
    <row r="1481" spans="4:5" ht="15" customHeight="1" x14ac:dyDescent="0.3">
      <c r="D1481" s="35">
        <f t="shared" si="47"/>
        <v>46152</v>
      </c>
      <c r="E1481">
        <v>24482</v>
      </c>
    </row>
    <row r="1482" spans="4:5" ht="15" customHeight="1" x14ac:dyDescent="0.3">
      <c r="D1482" s="35">
        <f t="shared" si="47"/>
        <v>46153</v>
      </c>
      <c r="E1482">
        <v>24482</v>
      </c>
    </row>
    <row r="1483" spans="4:5" ht="15" customHeight="1" x14ac:dyDescent="0.3">
      <c r="D1483" s="35">
        <f t="shared" si="47"/>
        <v>46154</v>
      </c>
      <c r="E1483">
        <v>24482</v>
      </c>
    </row>
    <row r="1484" spans="4:5" ht="15" customHeight="1" x14ac:dyDescent="0.3">
      <c r="D1484" s="35">
        <f t="shared" si="47"/>
        <v>46155</v>
      </c>
      <c r="E1484">
        <v>24482</v>
      </c>
    </row>
    <row r="1485" spans="4:5" ht="15" customHeight="1" x14ac:dyDescent="0.3">
      <c r="D1485" s="35">
        <f t="shared" si="47"/>
        <v>46156</v>
      </c>
      <c r="E1485">
        <v>24482</v>
      </c>
    </row>
    <row r="1486" spans="4:5" ht="15" customHeight="1" x14ac:dyDescent="0.3">
      <c r="D1486" s="35">
        <f t="shared" si="47"/>
        <v>46157</v>
      </c>
      <c r="E1486">
        <v>24482</v>
      </c>
    </row>
    <row r="1487" spans="4:5" ht="15" customHeight="1" x14ac:dyDescent="0.3">
      <c r="D1487" s="35">
        <f t="shared" si="47"/>
        <v>46158</v>
      </c>
      <c r="E1487">
        <v>24482</v>
      </c>
    </row>
    <row r="1488" spans="4:5" ht="15" customHeight="1" x14ac:dyDescent="0.3">
      <c r="D1488" s="35">
        <f t="shared" ref="D1488:D1551" si="48">D1487+1</f>
        <v>46159</v>
      </c>
      <c r="E1488">
        <v>24482</v>
      </c>
    </row>
    <row r="1489" spans="4:5" ht="15" customHeight="1" x14ac:dyDescent="0.3">
      <c r="D1489" s="35">
        <f t="shared" si="48"/>
        <v>46160</v>
      </c>
      <c r="E1489">
        <v>24482</v>
      </c>
    </row>
    <row r="1490" spans="4:5" ht="15" customHeight="1" x14ac:dyDescent="0.3">
      <c r="D1490" s="35">
        <f t="shared" si="48"/>
        <v>46161</v>
      </c>
      <c r="E1490">
        <v>24482</v>
      </c>
    </row>
    <row r="1491" spans="4:5" ht="15" customHeight="1" x14ac:dyDescent="0.3">
      <c r="D1491" s="35">
        <f t="shared" si="48"/>
        <v>46162</v>
      </c>
      <c r="E1491">
        <v>24482</v>
      </c>
    </row>
    <row r="1492" spans="4:5" ht="15" customHeight="1" x14ac:dyDescent="0.3">
      <c r="D1492" s="35">
        <f t="shared" si="48"/>
        <v>46163</v>
      </c>
      <c r="E1492">
        <v>24482</v>
      </c>
    </row>
    <row r="1493" spans="4:5" ht="15" customHeight="1" x14ac:dyDescent="0.3">
      <c r="D1493" s="35">
        <f t="shared" si="48"/>
        <v>46164</v>
      </c>
      <c r="E1493">
        <v>24482</v>
      </c>
    </row>
    <row r="1494" spans="4:5" ht="15" customHeight="1" x14ac:dyDescent="0.3">
      <c r="D1494" s="35">
        <f t="shared" si="48"/>
        <v>46165</v>
      </c>
      <c r="E1494">
        <v>24482</v>
      </c>
    </row>
    <row r="1495" spans="4:5" ht="15" customHeight="1" x14ac:dyDescent="0.3">
      <c r="D1495" s="35">
        <f t="shared" si="48"/>
        <v>46166</v>
      </c>
      <c r="E1495">
        <v>24482</v>
      </c>
    </row>
    <row r="1496" spans="4:5" ht="15" customHeight="1" x14ac:dyDescent="0.3">
      <c r="D1496" s="35">
        <f t="shared" si="48"/>
        <v>46167</v>
      </c>
      <c r="E1496">
        <v>24482</v>
      </c>
    </row>
    <row r="1497" spans="4:5" ht="15" customHeight="1" x14ac:dyDescent="0.3">
      <c r="D1497" s="35">
        <f t="shared" si="48"/>
        <v>46168</v>
      </c>
      <c r="E1497">
        <v>24482</v>
      </c>
    </row>
    <row r="1498" spans="4:5" ht="15" customHeight="1" x14ac:dyDescent="0.3">
      <c r="D1498" s="35">
        <f t="shared" si="48"/>
        <v>46169</v>
      </c>
      <c r="E1498">
        <v>24482</v>
      </c>
    </row>
    <row r="1499" spans="4:5" ht="15" customHeight="1" x14ac:dyDescent="0.3">
      <c r="D1499" s="35">
        <f t="shared" si="48"/>
        <v>46170</v>
      </c>
      <c r="E1499">
        <v>24482</v>
      </c>
    </row>
    <row r="1500" spans="4:5" ht="15" customHeight="1" x14ac:dyDescent="0.3">
      <c r="D1500" s="35">
        <f t="shared" si="48"/>
        <v>46171</v>
      </c>
      <c r="E1500">
        <v>24482</v>
      </c>
    </row>
    <row r="1501" spans="4:5" ht="15" customHeight="1" x14ac:dyDescent="0.3">
      <c r="D1501" s="35">
        <f t="shared" si="48"/>
        <v>46172</v>
      </c>
      <c r="E1501">
        <v>24482</v>
      </c>
    </row>
    <row r="1502" spans="4:5" ht="15" customHeight="1" x14ac:dyDescent="0.3">
      <c r="D1502" s="35">
        <f t="shared" si="48"/>
        <v>46173</v>
      </c>
      <c r="E1502">
        <v>24482</v>
      </c>
    </row>
    <row r="1503" spans="4:5" ht="15" customHeight="1" x14ac:dyDescent="0.3">
      <c r="D1503" s="35">
        <f t="shared" si="48"/>
        <v>46174</v>
      </c>
      <c r="E1503">
        <v>24482</v>
      </c>
    </row>
    <row r="1504" spans="4:5" ht="15" customHeight="1" x14ac:dyDescent="0.3">
      <c r="D1504" s="35">
        <f t="shared" si="48"/>
        <v>46175</v>
      </c>
      <c r="E1504">
        <v>24482</v>
      </c>
    </row>
    <row r="1505" spans="4:5" ht="15" customHeight="1" x14ac:dyDescent="0.3">
      <c r="D1505" s="35">
        <f t="shared" si="48"/>
        <v>46176</v>
      </c>
      <c r="E1505">
        <v>24482</v>
      </c>
    </row>
    <row r="1506" spans="4:5" ht="15" customHeight="1" x14ac:dyDescent="0.3">
      <c r="D1506" s="35">
        <f t="shared" si="48"/>
        <v>46177</v>
      </c>
      <c r="E1506">
        <v>24482</v>
      </c>
    </row>
    <row r="1507" spans="4:5" ht="15" customHeight="1" x14ac:dyDescent="0.3">
      <c r="D1507" s="35">
        <f t="shared" si="48"/>
        <v>46178</v>
      </c>
      <c r="E1507">
        <v>24482</v>
      </c>
    </row>
    <row r="1508" spans="4:5" ht="15" customHeight="1" x14ac:dyDescent="0.3">
      <c r="D1508" s="35">
        <f t="shared" si="48"/>
        <v>46179</v>
      </c>
      <c r="E1508">
        <v>24482</v>
      </c>
    </row>
    <row r="1509" spans="4:5" ht="15" customHeight="1" x14ac:dyDescent="0.3">
      <c r="D1509" s="35">
        <f t="shared" si="48"/>
        <v>46180</v>
      </c>
      <c r="E1509">
        <v>24482</v>
      </c>
    </row>
    <row r="1510" spans="4:5" ht="15" customHeight="1" x14ac:dyDescent="0.3">
      <c r="D1510" s="35">
        <f t="shared" si="48"/>
        <v>46181</v>
      </c>
      <c r="E1510">
        <v>24482</v>
      </c>
    </row>
    <row r="1511" spans="4:5" ht="15" customHeight="1" x14ac:dyDescent="0.3">
      <c r="D1511" s="35">
        <f t="shared" si="48"/>
        <v>46182</v>
      </c>
      <c r="E1511">
        <v>24482</v>
      </c>
    </row>
    <row r="1512" spans="4:5" ht="15" customHeight="1" x14ac:dyDescent="0.3">
      <c r="D1512" s="35">
        <f t="shared" si="48"/>
        <v>46183</v>
      </c>
      <c r="E1512">
        <v>24482</v>
      </c>
    </row>
    <row r="1513" spans="4:5" ht="15" customHeight="1" x14ac:dyDescent="0.3">
      <c r="D1513" s="35">
        <f t="shared" si="48"/>
        <v>46184</v>
      </c>
      <c r="E1513">
        <v>24482</v>
      </c>
    </row>
    <row r="1514" spans="4:5" ht="15" customHeight="1" x14ac:dyDescent="0.3">
      <c r="D1514" s="35">
        <f t="shared" si="48"/>
        <v>46185</v>
      </c>
      <c r="E1514">
        <v>24482</v>
      </c>
    </row>
    <row r="1515" spans="4:5" ht="15" customHeight="1" x14ac:dyDescent="0.3">
      <c r="D1515" s="35">
        <f t="shared" si="48"/>
        <v>46186</v>
      </c>
      <c r="E1515">
        <v>24482</v>
      </c>
    </row>
    <row r="1516" spans="4:5" ht="15" customHeight="1" x14ac:dyDescent="0.3">
      <c r="D1516" s="35">
        <f t="shared" si="48"/>
        <v>46187</v>
      </c>
      <c r="E1516">
        <v>24482</v>
      </c>
    </row>
    <row r="1517" spans="4:5" ht="15" customHeight="1" x14ac:dyDescent="0.3">
      <c r="D1517" s="35">
        <f t="shared" si="48"/>
        <v>46188</v>
      </c>
      <c r="E1517">
        <v>24482</v>
      </c>
    </row>
    <row r="1518" spans="4:5" ht="15" customHeight="1" x14ac:dyDescent="0.3">
      <c r="D1518" s="35">
        <f t="shared" si="48"/>
        <v>46189</v>
      </c>
      <c r="E1518">
        <v>24482</v>
      </c>
    </row>
    <row r="1519" spans="4:5" ht="15" customHeight="1" x14ac:dyDescent="0.3">
      <c r="D1519" s="35">
        <f t="shared" si="48"/>
        <v>46190</v>
      </c>
      <c r="E1519">
        <v>24482</v>
      </c>
    </row>
    <row r="1520" spans="4:5" ht="15" customHeight="1" x14ac:dyDescent="0.3">
      <c r="D1520" s="35">
        <f t="shared" si="48"/>
        <v>46191</v>
      </c>
      <c r="E1520">
        <v>24482</v>
      </c>
    </row>
    <row r="1521" spans="4:5" ht="15" customHeight="1" x14ac:dyDescent="0.3">
      <c r="D1521" s="35">
        <f t="shared" si="48"/>
        <v>46192</v>
      </c>
      <c r="E1521">
        <v>24482</v>
      </c>
    </row>
    <row r="1522" spans="4:5" ht="15" customHeight="1" x14ac:dyDescent="0.3">
      <c r="D1522" s="35">
        <f t="shared" si="48"/>
        <v>46193</v>
      </c>
      <c r="E1522">
        <v>24482</v>
      </c>
    </row>
    <row r="1523" spans="4:5" ht="15" customHeight="1" x14ac:dyDescent="0.3">
      <c r="D1523" s="35">
        <f t="shared" si="48"/>
        <v>46194</v>
      </c>
      <c r="E1523">
        <v>24482</v>
      </c>
    </row>
    <row r="1524" spans="4:5" ht="15" customHeight="1" x14ac:dyDescent="0.3">
      <c r="D1524" s="35">
        <f t="shared" si="48"/>
        <v>46195</v>
      </c>
      <c r="E1524">
        <v>24482</v>
      </c>
    </row>
    <row r="1525" spans="4:5" ht="15" customHeight="1" x14ac:dyDescent="0.3">
      <c r="D1525" s="35">
        <f t="shared" si="48"/>
        <v>46196</v>
      </c>
      <c r="E1525">
        <v>24482</v>
      </c>
    </row>
    <row r="1526" spans="4:5" ht="15" customHeight="1" x14ac:dyDescent="0.3">
      <c r="D1526" s="35">
        <f t="shared" si="48"/>
        <v>46197</v>
      </c>
      <c r="E1526">
        <v>24482</v>
      </c>
    </row>
    <row r="1527" spans="4:5" ht="15" customHeight="1" x14ac:dyDescent="0.3">
      <c r="D1527" s="35">
        <f t="shared" si="48"/>
        <v>46198</v>
      </c>
      <c r="E1527">
        <v>24482</v>
      </c>
    </row>
    <row r="1528" spans="4:5" ht="15" customHeight="1" x14ac:dyDescent="0.3">
      <c r="D1528" s="35">
        <f t="shared" si="48"/>
        <v>46199</v>
      </c>
      <c r="E1528">
        <v>24482</v>
      </c>
    </row>
    <row r="1529" spans="4:5" ht="15" customHeight="1" x14ac:dyDescent="0.3">
      <c r="D1529" s="35">
        <f t="shared" si="48"/>
        <v>46200</v>
      </c>
      <c r="E1529">
        <v>24482</v>
      </c>
    </row>
    <row r="1530" spans="4:5" ht="15" customHeight="1" x14ac:dyDescent="0.3">
      <c r="D1530" s="35">
        <f t="shared" si="48"/>
        <v>46201</v>
      </c>
      <c r="E1530">
        <v>24482</v>
      </c>
    </row>
    <row r="1531" spans="4:5" ht="15" customHeight="1" x14ac:dyDescent="0.3">
      <c r="D1531" s="35">
        <f t="shared" si="48"/>
        <v>46202</v>
      </c>
      <c r="E1531">
        <v>24482</v>
      </c>
    </row>
    <row r="1532" spans="4:5" ht="15" customHeight="1" x14ac:dyDescent="0.3">
      <c r="D1532" s="35">
        <f t="shared" si="48"/>
        <v>46203</v>
      </c>
      <c r="E1532">
        <v>24482</v>
      </c>
    </row>
    <row r="1533" spans="4:5" ht="15" customHeight="1" x14ac:dyDescent="0.3">
      <c r="D1533" s="35">
        <f t="shared" si="48"/>
        <v>46204</v>
      </c>
      <c r="E1533">
        <v>24482</v>
      </c>
    </row>
    <row r="1534" spans="4:5" ht="15" customHeight="1" x14ac:dyDescent="0.3">
      <c r="D1534" s="35">
        <f t="shared" si="48"/>
        <v>46205</v>
      </c>
      <c r="E1534">
        <v>24482</v>
      </c>
    </row>
    <row r="1535" spans="4:5" ht="15" customHeight="1" x14ac:dyDescent="0.3">
      <c r="D1535" s="35">
        <f t="shared" si="48"/>
        <v>46206</v>
      </c>
      <c r="E1535">
        <v>24482</v>
      </c>
    </row>
    <row r="1536" spans="4:5" ht="15" customHeight="1" x14ac:dyDescent="0.3">
      <c r="D1536" s="35">
        <f t="shared" si="48"/>
        <v>46207</v>
      </c>
      <c r="E1536">
        <v>24482</v>
      </c>
    </row>
    <row r="1537" spans="4:5" ht="15" customHeight="1" x14ac:dyDescent="0.3">
      <c r="D1537" s="35">
        <f t="shared" si="48"/>
        <v>46208</v>
      </c>
      <c r="E1537">
        <v>24482</v>
      </c>
    </row>
    <row r="1538" spans="4:5" ht="15" customHeight="1" x14ac:dyDescent="0.3">
      <c r="D1538" s="35">
        <f t="shared" si="48"/>
        <v>46209</v>
      </c>
      <c r="E1538">
        <v>24482</v>
      </c>
    </row>
    <row r="1539" spans="4:5" ht="15" customHeight="1" x14ac:dyDescent="0.3">
      <c r="D1539" s="35">
        <f t="shared" si="48"/>
        <v>46210</v>
      </c>
      <c r="E1539">
        <v>24482</v>
      </c>
    </row>
    <row r="1540" spans="4:5" ht="15" customHeight="1" x14ac:dyDescent="0.3">
      <c r="D1540" s="35">
        <f t="shared" si="48"/>
        <v>46211</v>
      </c>
      <c r="E1540">
        <v>24482</v>
      </c>
    </row>
    <row r="1541" spans="4:5" ht="15" customHeight="1" x14ac:dyDescent="0.3">
      <c r="D1541" s="35">
        <f t="shared" si="48"/>
        <v>46212</v>
      </c>
      <c r="E1541">
        <v>24482</v>
      </c>
    </row>
    <row r="1542" spans="4:5" ht="15" customHeight="1" x14ac:dyDescent="0.3">
      <c r="D1542" s="35">
        <f t="shared" si="48"/>
        <v>46213</v>
      </c>
      <c r="E1542">
        <v>24482</v>
      </c>
    </row>
    <row r="1543" spans="4:5" ht="15" customHeight="1" x14ac:dyDescent="0.3">
      <c r="D1543" s="35">
        <f t="shared" si="48"/>
        <v>46214</v>
      </c>
      <c r="E1543">
        <v>24482</v>
      </c>
    </row>
    <row r="1544" spans="4:5" ht="15" customHeight="1" x14ac:dyDescent="0.3">
      <c r="D1544" s="35">
        <f t="shared" si="48"/>
        <v>46215</v>
      </c>
      <c r="E1544">
        <v>24482</v>
      </c>
    </row>
    <row r="1545" spans="4:5" ht="15" customHeight="1" x14ac:dyDescent="0.3">
      <c r="D1545" s="35">
        <f t="shared" si="48"/>
        <v>46216</v>
      </c>
      <c r="E1545">
        <v>24482</v>
      </c>
    </row>
    <row r="1546" spans="4:5" ht="15" customHeight="1" x14ac:dyDescent="0.3">
      <c r="D1546" s="35">
        <f t="shared" si="48"/>
        <v>46217</v>
      </c>
      <c r="E1546">
        <v>24482</v>
      </c>
    </row>
    <row r="1547" spans="4:5" ht="15" customHeight="1" x14ac:dyDescent="0.3">
      <c r="D1547" s="35">
        <f t="shared" si="48"/>
        <v>46218</v>
      </c>
      <c r="E1547">
        <v>24482</v>
      </c>
    </row>
    <row r="1548" spans="4:5" ht="15" customHeight="1" x14ac:dyDescent="0.3">
      <c r="D1548" s="35">
        <f t="shared" si="48"/>
        <v>46219</v>
      </c>
      <c r="E1548">
        <v>24482</v>
      </c>
    </row>
    <row r="1549" spans="4:5" ht="15" customHeight="1" x14ac:dyDescent="0.3">
      <c r="D1549" s="35">
        <f t="shared" si="48"/>
        <v>46220</v>
      </c>
      <c r="E1549">
        <v>24482</v>
      </c>
    </row>
    <row r="1550" spans="4:5" ht="15" customHeight="1" x14ac:dyDescent="0.3">
      <c r="D1550" s="35">
        <f t="shared" si="48"/>
        <v>46221</v>
      </c>
      <c r="E1550">
        <v>24482</v>
      </c>
    </row>
    <row r="1551" spans="4:5" ht="15" customHeight="1" x14ac:dyDescent="0.3">
      <c r="D1551" s="35">
        <f t="shared" si="48"/>
        <v>46222</v>
      </c>
      <c r="E1551">
        <v>24482</v>
      </c>
    </row>
    <row r="1552" spans="4:5" ht="15" customHeight="1" x14ac:dyDescent="0.3">
      <c r="D1552" s="35">
        <f t="shared" ref="D1552:D1615" si="49">D1551+1</f>
        <v>46223</v>
      </c>
      <c r="E1552">
        <v>24482</v>
      </c>
    </row>
    <row r="1553" spans="4:5" ht="15" customHeight="1" x14ac:dyDescent="0.3">
      <c r="D1553" s="35">
        <f t="shared" si="49"/>
        <v>46224</v>
      </c>
      <c r="E1553">
        <v>24482</v>
      </c>
    </row>
    <row r="1554" spans="4:5" ht="15" customHeight="1" x14ac:dyDescent="0.3">
      <c r="D1554" s="35">
        <f t="shared" si="49"/>
        <v>46225</v>
      </c>
      <c r="E1554">
        <v>24482</v>
      </c>
    </row>
    <row r="1555" spans="4:5" ht="15" customHeight="1" x14ac:dyDescent="0.3">
      <c r="D1555" s="35">
        <f t="shared" si="49"/>
        <v>46226</v>
      </c>
      <c r="E1555">
        <v>24482</v>
      </c>
    </row>
    <row r="1556" spans="4:5" ht="15" customHeight="1" x14ac:dyDescent="0.3">
      <c r="D1556" s="35">
        <f t="shared" si="49"/>
        <v>46227</v>
      </c>
      <c r="E1556">
        <v>24482</v>
      </c>
    </row>
    <row r="1557" spans="4:5" ht="15" customHeight="1" x14ac:dyDescent="0.3">
      <c r="D1557" s="35">
        <f t="shared" si="49"/>
        <v>46228</v>
      </c>
      <c r="E1557">
        <v>24482</v>
      </c>
    </row>
    <row r="1558" spans="4:5" ht="15" customHeight="1" x14ac:dyDescent="0.3">
      <c r="D1558" s="35">
        <f t="shared" si="49"/>
        <v>46229</v>
      </c>
      <c r="E1558">
        <v>24482</v>
      </c>
    </row>
    <row r="1559" spans="4:5" ht="15" customHeight="1" x14ac:dyDescent="0.3">
      <c r="D1559" s="35">
        <f t="shared" si="49"/>
        <v>46230</v>
      </c>
      <c r="E1559">
        <v>24482</v>
      </c>
    </row>
    <row r="1560" spans="4:5" ht="15" customHeight="1" x14ac:dyDescent="0.3">
      <c r="D1560" s="35">
        <f t="shared" si="49"/>
        <v>46231</v>
      </c>
      <c r="E1560">
        <v>24482</v>
      </c>
    </row>
    <row r="1561" spans="4:5" ht="15" customHeight="1" x14ac:dyDescent="0.3">
      <c r="D1561" s="35">
        <f t="shared" si="49"/>
        <v>46232</v>
      </c>
      <c r="E1561">
        <v>24482</v>
      </c>
    </row>
    <row r="1562" spans="4:5" ht="15" customHeight="1" x14ac:dyDescent="0.3">
      <c r="D1562" s="35">
        <f t="shared" si="49"/>
        <v>46233</v>
      </c>
      <c r="E1562">
        <v>24482</v>
      </c>
    </row>
    <row r="1563" spans="4:5" ht="15" customHeight="1" x14ac:dyDescent="0.3">
      <c r="D1563" s="35">
        <f t="shared" si="49"/>
        <v>46234</v>
      </c>
      <c r="E1563">
        <v>24482</v>
      </c>
    </row>
    <row r="1564" spans="4:5" ht="15" customHeight="1" x14ac:dyDescent="0.3">
      <c r="D1564" s="35">
        <f t="shared" si="49"/>
        <v>46235</v>
      </c>
      <c r="E1564">
        <v>24482</v>
      </c>
    </row>
    <row r="1565" spans="4:5" ht="15" customHeight="1" x14ac:dyDescent="0.3">
      <c r="D1565" s="35">
        <f t="shared" si="49"/>
        <v>46236</v>
      </c>
      <c r="E1565">
        <v>24482</v>
      </c>
    </row>
    <row r="1566" spans="4:5" ht="15" customHeight="1" x14ac:dyDescent="0.3">
      <c r="D1566" s="35">
        <f t="shared" si="49"/>
        <v>46237</v>
      </c>
      <c r="E1566">
        <v>24482</v>
      </c>
    </row>
    <row r="1567" spans="4:5" ht="15" customHeight="1" x14ac:dyDescent="0.3">
      <c r="D1567" s="35">
        <f t="shared" si="49"/>
        <v>46238</v>
      </c>
      <c r="E1567">
        <v>24482</v>
      </c>
    </row>
    <row r="1568" spans="4:5" ht="15" customHeight="1" x14ac:dyDescent="0.3">
      <c r="D1568" s="35">
        <f t="shared" si="49"/>
        <v>46239</v>
      </c>
      <c r="E1568">
        <v>24482</v>
      </c>
    </row>
    <row r="1569" spans="4:5" ht="15" customHeight="1" x14ac:dyDescent="0.3">
      <c r="D1569" s="35">
        <f t="shared" si="49"/>
        <v>46240</v>
      </c>
      <c r="E1569">
        <v>24482</v>
      </c>
    </row>
    <row r="1570" spans="4:5" ht="15" customHeight="1" x14ac:dyDescent="0.3">
      <c r="D1570" s="35">
        <f t="shared" si="49"/>
        <v>46241</v>
      </c>
      <c r="E1570">
        <v>24482</v>
      </c>
    </row>
    <row r="1571" spans="4:5" ht="15" customHeight="1" x14ac:dyDescent="0.3">
      <c r="D1571" s="35">
        <f t="shared" si="49"/>
        <v>46242</v>
      </c>
      <c r="E1571">
        <v>24482</v>
      </c>
    </row>
    <row r="1572" spans="4:5" ht="15" customHeight="1" x14ac:dyDescent="0.3">
      <c r="D1572" s="35">
        <f t="shared" si="49"/>
        <v>46243</v>
      </c>
      <c r="E1572">
        <v>24482</v>
      </c>
    </row>
    <row r="1573" spans="4:5" ht="15" customHeight="1" x14ac:dyDescent="0.3">
      <c r="D1573" s="35">
        <f t="shared" si="49"/>
        <v>46244</v>
      </c>
      <c r="E1573">
        <v>24482</v>
      </c>
    </row>
    <row r="1574" spans="4:5" ht="15" customHeight="1" x14ac:dyDescent="0.3">
      <c r="D1574" s="35">
        <f t="shared" si="49"/>
        <v>46245</v>
      </c>
      <c r="E1574">
        <v>24482</v>
      </c>
    </row>
    <row r="1575" spans="4:5" ht="15" customHeight="1" x14ac:dyDescent="0.3">
      <c r="D1575" s="35">
        <f t="shared" si="49"/>
        <v>46246</v>
      </c>
      <c r="E1575">
        <v>24482</v>
      </c>
    </row>
    <row r="1576" spans="4:5" ht="15" customHeight="1" x14ac:dyDescent="0.3">
      <c r="D1576" s="35">
        <f t="shared" si="49"/>
        <v>46247</v>
      </c>
      <c r="E1576">
        <v>24482</v>
      </c>
    </row>
    <row r="1577" spans="4:5" ht="15" customHeight="1" x14ac:dyDescent="0.3">
      <c r="D1577" s="35">
        <f t="shared" si="49"/>
        <v>46248</v>
      </c>
      <c r="E1577">
        <v>24482</v>
      </c>
    </row>
    <row r="1578" spans="4:5" ht="15" customHeight="1" x14ac:dyDescent="0.3">
      <c r="D1578" s="35">
        <f t="shared" si="49"/>
        <v>46249</v>
      </c>
      <c r="E1578">
        <v>24482</v>
      </c>
    </row>
    <row r="1579" spans="4:5" ht="15" customHeight="1" x14ac:dyDescent="0.3">
      <c r="D1579" s="35">
        <f t="shared" si="49"/>
        <v>46250</v>
      </c>
      <c r="E1579">
        <v>24482</v>
      </c>
    </row>
    <row r="1580" spans="4:5" ht="15" customHeight="1" x14ac:dyDescent="0.3">
      <c r="D1580" s="35">
        <f t="shared" si="49"/>
        <v>46251</v>
      </c>
      <c r="E1580">
        <v>24482</v>
      </c>
    </row>
    <row r="1581" spans="4:5" ht="15" customHeight="1" x14ac:dyDescent="0.3">
      <c r="D1581" s="35">
        <f t="shared" si="49"/>
        <v>46252</v>
      </c>
      <c r="E1581">
        <v>24482</v>
      </c>
    </row>
    <row r="1582" spans="4:5" ht="15" customHeight="1" x14ac:dyDescent="0.3">
      <c r="D1582" s="35">
        <f t="shared" si="49"/>
        <v>46253</v>
      </c>
      <c r="E1582">
        <v>24482</v>
      </c>
    </row>
    <row r="1583" spans="4:5" ht="15" customHeight="1" x14ac:dyDescent="0.3">
      <c r="D1583" s="35">
        <f t="shared" si="49"/>
        <v>46254</v>
      </c>
      <c r="E1583">
        <v>24482</v>
      </c>
    </row>
    <row r="1584" spans="4:5" ht="15" customHeight="1" x14ac:dyDescent="0.3">
      <c r="D1584" s="35">
        <f t="shared" si="49"/>
        <v>46255</v>
      </c>
      <c r="E1584">
        <v>24482</v>
      </c>
    </row>
    <row r="1585" spans="4:5" ht="15" customHeight="1" x14ac:dyDescent="0.3">
      <c r="D1585" s="35">
        <f t="shared" si="49"/>
        <v>46256</v>
      </c>
      <c r="E1585">
        <v>24482</v>
      </c>
    </row>
    <row r="1586" spans="4:5" ht="15" customHeight="1" x14ac:dyDescent="0.3">
      <c r="D1586" s="35">
        <f t="shared" si="49"/>
        <v>46257</v>
      </c>
      <c r="E1586">
        <v>24482</v>
      </c>
    </row>
    <row r="1587" spans="4:5" ht="15" customHeight="1" x14ac:dyDescent="0.3">
      <c r="D1587" s="35">
        <f t="shared" si="49"/>
        <v>46258</v>
      </c>
      <c r="E1587">
        <v>24482</v>
      </c>
    </row>
    <row r="1588" spans="4:5" ht="15" customHeight="1" x14ac:dyDescent="0.3">
      <c r="D1588" s="35">
        <f t="shared" si="49"/>
        <v>46259</v>
      </c>
      <c r="E1588">
        <v>24482</v>
      </c>
    </row>
    <row r="1589" spans="4:5" ht="15" customHeight="1" x14ac:dyDescent="0.3">
      <c r="D1589" s="35">
        <f t="shared" si="49"/>
        <v>46260</v>
      </c>
      <c r="E1589">
        <v>24482</v>
      </c>
    </row>
    <row r="1590" spans="4:5" ht="15" customHeight="1" x14ac:dyDescent="0.3">
      <c r="D1590" s="35">
        <f t="shared" si="49"/>
        <v>46261</v>
      </c>
      <c r="E1590">
        <v>24482</v>
      </c>
    </row>
    <row r="1591" spans="4:5" ht="15" customHeight="1" x14ac:dyDescent="0.3">
      <c r="D1591" s="35">
        <f t="shared" si="49"/>
        <v>46262</v>
      </c>
      <c r="E1591">
        <v>24482</v>
      </c>
    </row>
    <row r="1592" spans="4:5" ht="15" customHeight="1" x14ac:dyDescent="0.3">
      <c r="D1592" s="35">
        <f t="shared" si="49"/>
        <v>46263</v>
      </c>
      <c r="E1592">
        <v>24482</v>
      </c>
    </row>
    <row r="1593" spans="4:5" ht="15" customHeight="1" x14ac:dyDescent="0.3">
      <c r="D1593" s="35">
        <f t="shared" si="49"/>
        <v>46264</v>
      </c>
      <c r="E1593">
        <v>24482</v>
      </c>
    </row>
    <row r="1594" spans="4:5" ht="15" customHeight="1" x14ac:dyDescent="0.3">
      <c r="D1594" s="35">
        <f t="shared" si="49"/>
        <v>46265</v>
      </c>
      <c r="E1594">
        <v>24482</v>
      </c>
    </row>
    <row r="1595" spans="4:5" ht="15" customHeight="1" x14ac:dyDescent="0.3">
      <c r="D1595" s="35">
        <f t="shared" si="49"/>
        <v>46266</v>
      </c>
      <c r="E1595">
        <v>24482</v>
      </c>
    </row>
    <row r="1596" spans="4:5" ht="15" customHeight="1" x14ac:dyDescent="0.3">
      <c r="D1596" s="35">
        <f t="shared" si="49"/>
        <v>46267</v>
      </c>
      <c r="E1596">
        <v>24482</v>
      </c>
    </row>
    <row r="1597" spans="4:5" ht="15" customHeight="1" x14ac:dyDescent="0.3">
      <c r="D1597" s="35">
        <f t="shared" si="49"/>
        <v>46268</v>
      </c>
      <c r="E1597">
        <v>24482</v>
      </c>
    </row>
    <row r="1598" spans="4:5" ht="15" customHeight="1" x14ac:dyDescent="0.3">
      <c r="D1598" s="35">
        <f t="shared" si="49"/>
        <v>46269</v>
      </c>
      <c r="E1598">
        <v>24482</v>
      </c>
    </row>
    <row r="1599" spans="4:5" ht="15" customHeight="1" x14ac:dyDescent="0.3">
      <c r="D1599" s="35">
        <f t="shared" si="49"/>
        <v>46270</v>
      </c>
      <c r="E1599">
        <v>24482</v>
      </c>
    </row>
    <row r="1600" spans="4:5" ht="15" customHeight="1" x14ac:dyDescent="0.3">
      <c r="D1600" s="35">
        <f t="shared" si="49"/>
        <v>46271</v>
      </c>
      <c r="E1600">
        <v>24482</v>
      </c>
    </row>
    <row r="1601" spans="4:5" ht="15" customHeight="1" x14ac:dyDescent="0.3">
      <c r="D1601" s="35">
        <f t="shared" si="49"/>
        <v>46272</v>
      </c>
      <c r="E1601">
        <v>24482</v>
      </c>
    </row>
    <row r="1602" spans="4:5" ht="15" customHeight="1" x14ac:dyDescent="0.3">
      <c r="D1602" s="35">
        <f t="shared" si="49"/>
        <v>46273</v>
      </c>
      <c r="E1602">
        <v>24482</v>
      </c>
    </row>
    <row r="1603" spans="4:5" ht="15" customHeight="1" x14ac:dyDescent="0.3">
      <c r="D1603" s="35">
        <f t="shared" si="49"/>
        <v>46274</v>
      </c>
      <c r="E1603">
        <v>24482</v>
      </c>
    </row>
    <row r="1604" spans="4:5" ht="15" customHeight="1" x14ac:dyDescent="0.3">
      <c r="D1604" s="35">
        <f t="shared" si="49"/>
        <v>46275</v>
      </c>
      <c r="E1604">
        <v>24482</v>
      </c>
    </row>
    <row r="1605" spans="4:5" ht="15" customHeight="1" x14ac:dyDescent="0.3">
      <c r="D1605" s="35">
        <f t="shared" si="49"/>
        <v>46276</v>
      </c>
      <c r="E1605">
        <v>24482</v>
      </c>
    </row>
    <row r="1606" spans="4:5" ht="15" customHeight="1" x14ac:dyDescent="0.3">
      <c r="D1606" s="35">
        <f t="shared" si="49"/>
        <v>46277</v>
      </c>
      <c r="E1606">
        <v>24482</v>
      </c>
    </row>
    <row r="1607" spans="4:5" ht="15" customHeight="1" x14ac:dyDescent="0.3">
      <c r="D1607" s="35">
        <f t="shared" si="49"/>
        <v>46278</v>
      </c>
      <c r="E1607">
        <v>24482</v>
      </c>
    </row>
    <row r="1608" spans="4:5" ht="15" customHeight="1" x14ac:dyDescent="0.3">
      <c r="D1608" s="35">
        <f t="shared" si="49"/>
        <v>46279</v>
      </c>
      <c r="E1608">
        <v>24482</v>
      </c>
    </row>
    <row r="1609" spans="4:5" ht="15" customHeight="1" x14ac:dyDescent="0.3">
      <c r="D1609" s="35">
        <f t="shared" si="49"/>
        <v>46280</v>
      </c>
      <c r="E1609">
        <v>24482</v>
      </c>
    </row>
    <row r="1610" spans="4:5" ht="15" customHeight="1" x14ac:dyDescent="0.3">
      <c r="D1610" s="35">
        <f t="shared" si="49"/>
        <v>46281</v>
      </c>
      <c r="E1610">
        <v>24482</v>
      </c>
    </row>
    <row r="1611" spans="4:5" ht="15" customHeight="1" x14ac:dyDescent="0.3">
      <c r="D1611" s="35">
        <f t="shared" si="49"/>
        <v>46282</v>
      </c>
      <c r="E1611">
        <v>24482</v>
      </c>
    </row>
    <row r="1612" spans="4:5" ht="15" customHeight="1" x14ac:dyDescent="0.3">
      <c r="D1612" s="35">
        <f t="shared" si="49"/>
        <v>46283</v>
      </c>
      <c r="E1612">
        <v>24482</v>
      </c>
    </row>
    <row r="1613" spans="4:5" ht="15" customHeight="1" x14ac:dyDescent="0.3">
      <c r="D1613" s="35">
        <f t="shared" si="49"/>
        <v>46284</v>
      </c>
      <c r="E1613">
        <v>24482</v>
      </c>
    </row>
    <row r="1614" spans="4:5" ht="15" customHeight="1" x14ac:dyDescent="0.3">
      <c r="D1614" s="35">
        <f t="shared" si="49"/>
        <v>46285</v>
      </c>
      <c r="E1614">
        <v>24482</v>
      </c>
    </row>
    <row r="1615" spans="4:5" ht="15" customHeight="1" x14ac:dyDescent="0.3">
      <c r="D1615" s="35">
        <f t="shared" si="49"/>
        <v>46286</v>
      </c>
      <c r="E1615">
        <v>24482</v>
      </c>
    </row>
    <row r="1616" spans="4:5" ht="15" customHeight="1" x14ac:dyDescent="0.3">
      <c r="D1616" s="35">
        <f t="shared" ref="D1616:D1679" si="50">D1615+1</f>
        <v>46287</v>
      </c>
      <c r="E1616">
        <v>24482</v>
      </c>
    </row>
    <row r="1617" spans="4:5" ht="15" customHeight="1" x14ac:dyDescent="0.3">
      <c r="D1617" s="35">
        <f t="shared" si="50"/>
        <v>46288</v>
      </c>
      <c r="E1617">
        <v>24482</v>
      </c>
    </row>
    <row r="1618" spans="4:5" ht="15" customHeight="1" x14ac:dyDescent="0.3">
      <c r="D1618" s="35">
        <f t="shared" si="50"/>
        <v>46289</v>
      </c>
      <c r="E1618">
        <v>24482</v>
      </c>
    </row>
    <row r="1619" spans="4:5" ht="15" customHeight="1" x14ac:dyDescent="0.3">
      <c r="D1619" s="35">
        <f t="shared" si="50"/>
        <v>46290</v>
      </c>
      <c r="E1619">
        <v>24482</v>
      </c>
    </row>
    <row r="1620" spans="4:5" ht="15" customHeight="1" x14ac:dyDescent="0.3">
      <c r="D1620" s="35">
        <f t="shared" si="50"/>
        <v>46291</v>
      </c>
      <c r="E1620">
        <v>24482</v>
      </c>
    </row>
    <row r="1621" spans="4:5" ht="15" customHeight="1" x14ac:dyDescent="0.3">
      <c r="D1621" s="35">
        <f t="shared" si="50"/>
        <v>46292</v>
      </c>
      <c r="E1621">
        <v>24482</v>
      </c>
    </row>
    <row r="1622" spans="4:5" ht="15" customHeight="1" x14ac:dyDescent="0.3">
      <c r="D1622" s="35">
        <f t="shared" si="50"/>
        <v>46293</v>
      </c>
      <c r="E1622">
        <v>24482</v>
      </c>
    </row>
    <row r="1623" spans="4:5" ht="15" customHeight="1" x14ac:dyDescent="0.3">
      <c r="D1623" s="35">
        <f t="shared" si="50"/>
        <v>46294</v>
      </c>
      <c r="E1623">
        <v>24482</v>
      </c>
    </row>
    <row r="1624" spans="4:5" ht="15" customHeight="1" x14ac:dyDescent="0.3">
      <c r="D1624" s="35">
        <f t="shared" si="50"/>
        <v>46295</v>
      </c>
      <c r="E1624">
        <v>24482</v>
      </c>
    </row>
    <row r="1625" spans="4:5" ht="15" customHeight="1" x14ac:dyDescent="0.3">
      <c r="D1625" s="35">
        <f t="shared" si="50"/>
        <v>46296</v>
      </c>
      <c r="E1625">
        <v>24482</v>
      </c>
    </row>
    <row r="1626" spans="4:5" ht="15" customHeight="1" x14ac:dyDescent="0.3">
      <c r="D1626" s="35">
        <f t="shared" si="50"/>
        <v>46297</v>
      </c>
      <c r="E1626">
        <v>24482</v>
      </c>
    </row>
    <row r="1627" spans="4:5" ht="15" customHeight="1" x14ac:dyDescent="0.3">
      <c r="D1627" s="35">
        <f t="shared" si="50"/>
        <v>46298</v>
      </c>
      <c r="E1627">
        <v>24482</v>
      </c>
    </row>
    <row r="1628" spans="4:5" ht="15" customHeight="1" x14ac:dyDescent="0.3">
      <c r="D1628" s="35">
        <f t="shared" si="50"/>
        <v>46299</v>
      </c>
      <c r="E1628">
        <v>24482</v>
      </c>
    </row>
    <row r="1629" spans="4:5" ht="15" customHeight="1" x14ac:dyDescent="0.3">
      <c r="D1629" s="35">
        <f t="shared" si="50"/>
        <v>46300</v>
      </c>
      <c r="E1629">
        <v>24482</v>
      </c>
    </row>
    <row r="1630" spans="4:5" ht="15" customHeight="1" x14ac:dyDescent="0.3">
      <c r="D1630" s="35">
        <f t="shared" si="50"/>
        <v>46301</v>
      </c>
      <c r="E1630">
        <v>24482</v>
      </c>
    </row>
    <row r="1631" spans="4:5" ht="15" customHeight="1" x14ac:dyDescent="0.3">
      <c r="D1631" s="35">
        <f t="shared" si="50"/>
        <v>46302</v>
      </c>
      <c r="E1631">
        <v>24482</v>
      </c>
    </row>
    <row r="1632" spans="4:5" ht="15" customHeight="1" x14ac:dyDescent="0.3">
      <c r="D1632" s="35">
        <f t="shared" si="50"/>
        <v>46303</v>
      </c>
      <c r="E1632">
        <v>24482</v>
      </c>
    </row>
    <row r="1633" spans="4:5" ht="15" customHeight="1" x14ac:dyDescent="0.3">
      <c r="D1633" s="35">
        <f t="shared" si="50"/>
        <v>46304</v>
      </c>
      <c r="E1633">
        <v>24482</v>
      </c>
    </row>
    <row r="1634" spans="4:5" ht="15" customHeight="1" x14ac:dyDescent="0.3">
      <c r="D1634" s="35">
        <f t="shared" si="50"/>
        <v>46305</v>
      </c>
      <c r="E1634">
        <v>24482</v>
      </c>
    </row>
    <row r="1635" spans="4:5" ht="15" customHeight="1" x14ac:dyDescent="0.3">
      <c r="D1635" s="35">
        <f t="shared" si="50"/>
        <v>46306</v>
      </c>
      <c r="E1635">
        <v>24482</v>
      </c>
    </row>
    <row r="1636" spans="4:5" ht="15" customHeight="1" x14ac:dyDescent="0.3">
      <c r="D1636" s="35">
        <f t="shared" si="50"/>
        <v>46307</v>
      </c>
      <c r="E1636">
        <v>24482</v>
      </c>
    </row>
    <row r="1637" spans="4:5" ht="15" customHeight="1" x14ac:dyDescent="0.3">
      <c r="D1637" s="35">
        <f t="shared" si="50"/>
        <v>46308</v>
      </c>
      <c r="E1637">
        <v>24482</v>
      </c>
    </row>
    <row r="1638" spans="4:5" ht="15" customHeight="1" x14ac:dyDescent="0.3">
      <c r="D1638" s="35">
        <f t="shared" si="50"/>
        <v>46309</v>
      </c>
      <c r="E1638">
        <v>24482</v>
      </c>
    </row>
    <row r="1639" spans="4:5" ht="15" customHeight="1" x14ac:dyDescent="0.3">
      <c r="D1639" s="35">
        <f t="shared" si="50"/>
        <v>46310</v>
      </c>
      <c r="E1639">
        <v>24482</v>
      </c>
    </row>
    <row r="1640" spans="4:5" ht="15" customHeight="1" x14ac:dyDescent="0.3">
      <c r="D1640" s="35">
        <f t="shared" si="50"/>
        <v>46311</v>
      </c>
      <c r="E1640">
        <v>24482</v>
      </c>
    </row>
    <row r="1641" spans="4:5" ht="15" customHeight="1" x14ac:dyDescent="0.3">
      <c r="D1641" s="35">
        <f t="shared" si="50"/>
        <v>46312</v>
      </c>
      <c r="E1641">
        <v>24482</v>
      </c>
    </row>
    <row r="1642" spans="4:5" ht="15" customHeight="1" x14ac:dyDescent="0.3">
      <c r="D1642" s="35">
        <f t="shared" si="50"/>
        <v>46313</v>
      </c>
      <c r="E1642">
        <v>24482</v>
      </c>
    </row>
    <row r="1643" spans="4:5" ht="15" customHeight="1" x14ac:dyDescent="0.3">
      <c r="D1643" s="35">
        <f t="shared" si="50"/>
        <v>46314</v>
      </c>
      <c r="E1643">
        <v>24482</v>
      </c>
    </row>
    <row r="1644" spans="4:5" ht="15" customHeight="1" x14ac:dyDescent="0.3">
      <c r="D1644" s="35">
        <f t="shared" si="50"/>
        <v>46315</v>
      </c>
      <c r="E1644">
        <v>24482</v>
      </c>
    </row>
    <row r="1645" spans="4:5" ht="15" customHeight="1" x14ac:dyDescent="0.3">
      <c r="D1645" s="35">
        <f t="shared" si="50"/>
        <v>46316</v>
      </c>
      <c r="E1645">
        <v>24482</v>
      </c>
    </row>
    <row r="1646" spans="4:5" ht="15" customHeight="1" x14ac:dyDescent="0.3">
      <c r="D1646" s="35">
        <f t="shared" si="50"/>
        <v>46317</v>
      </c>
      <c r="E1646">
        <v>24482</v>
      </c>
    </row>
    <row r="1647" spans="4:5" ht="15" customHeight="1" x14ac:dyDescent="0.3">
      <c r="D1647" s="35">
        <f t="shared" si="50"/>
        <v>46318</v>
      </c>
      <c r="E1647">
        <v>24482</v>
      </c>
    </row>
    <row r="1648" spans="4:5" ht="15" customHeight="1" x14ac:dyDescent="0.3">
      <c r="D1648" s="35">
        <f t="shared" si="50"/>
        <v>46319</v>
      </c>
      <c r="E1648">
        <v>24482</v>
      </c>
    </row>
    <row r="1649" spans="4:5" ht="15" customHeight="1" x14ac:dyDescent="0.3">
      <c r="D1649" s="35">
        <f t="shared" si="50"/>
        <v>46320</v>
      </c>
      <c r="E1649">
        <v>24482</v>
      </c>
    </row>
    <row r="1650" spans="4:5" ht="15" customHeight="1" x14ac:dyDescent="0.3">
      <c r="D1650" s="35">
        <f t="shared" si="50"/>
        <v>46321</v>
      </c>
      <c r="E1650">
        <v>24482</v>
      </c>
    </row>
    <row r="1651" spans="4:5" ht="15" customHeight="1" x14ac:dyDescent="0.3">
      <c r="D1651" s="35">
        <f t="shared" si="50"/>
        <v>46322</v>
      </c>
      <c r="E1651">
        <v>24482</v>
      </c>
    </row>
    <row r="1652" spans="4:5" ht="15" customHeight="1" x14ac:dyDescent="0.3">
      <c r="D1652" s="35">
        <f t="shared" si="50"/>
        <v>46323</v>
      </c>
      <c r="E1652">
        <v>24482</v>
      </c>
    </row>
    <row r="1653" spans="4:5" ht="15" customHeight="1" x14ac:dyDescent="0.3">
      <c r="D1653" s="35">
        <f t="shared" si="50"/>
        <v>46324</v>
      </c>
      <c r="E1653">
        <v>24482</v>
      </c>
    </row>
    <row r="1654" spans="4:5" ht="15" customHeight="1" x14ac:dyDescent="0.3">
      <c r="D1654" s="35">
        <f t="shared" si="50"/>
        <v>46325</v>
      </c>
      <c r="E1654">
        <v>24482</v>
      </c>
    </row>
    <row r="1655" spans="4:5" ht="15" customHeight="1" x14ac:dyDescent="0.3">
      <c r="D1655" s="35">
        <f t="shared" si="50"/>
        <v>46326</v>
      </c>
      <c r="E1655">
        <v>24482</v>
      </c>
    </row>
    <row r="1656" spans="4:5" ht="15" customHeight="1" x14ac:dyDescent="0.3">
      <c r="D1656" s="35">
        <f t="shared" si="50"/>
        <v>46327</v>
      </c>
      <c r="E1656">
        <v>24482</v>
      </c>
    </row>
    <row r="1657" spans="4:5" ht="15" customHeight="1" x14ac:dyDescent="0.3">
      <c r="D1657" s="35">
        <f t="shared" si="50"/>
        <v>46328</v>
      </c>
      <c r="E1657">
        <v>24482</v>
      </c>
    </row>
    <row r="1658" spans="4:5" ht="15" customHeight="1" x14ac:dyDescent="0.3">
      <c r="D1658" s="35">
        <f t="shared" si="50"/>
        <v>46329</v>
      </c>
      <c r="E1658">
        <v>24482</v>
      </c>
    </row>
    <row r="1659" spans="4:5" ht="15" customHeight="1" x14ac:dyDescent="0.3">
      <c r="D1659" s="35">
        <f t="shared" si="50"/>
        <v>46330</v>
      </c>
      <c r="E1659">
        <v>24482</v>
      </c>
    </row>
    <row r="1660" spans="4:5" ht="15" customHeight="1" x14ac:dyDescent="0.3">
      <c r="D1660" s="35">
        <f t="shared" si="50"/>
        <v>46331</v>
      </c>
      <c r="E1660">
        <v>24482</v>
      </c>
    </row>
    <row r="1661" spans="4:5" ht="15" customHeight="1" x14ac:dyDescent="0.3">
      <c r="D1661" s="35">
        <f t="shared" si="50"/>
        <v>46332</v>
      </c>
      <c r="E1661">
        <v>24482</v>
      </c>
    </row>
    <row r="1662" spans="4:5" ht="15" customHeight="1" x14ac:dyDescent="0.3">
      <c r="D1662" s="35">
        <f t="shared" si="50"/>
        <v>46333</v>
      </c>
      <c r="E1662">
        <v>24482</v>
      </c>
    </row>
    <row r="1663" spans="4:5" ht="15" customHeight="1" x14ac:dyDescent="0.3">
      <c r="D1663" s="35">
        <f t="shared" si="50"/>
        <v>46334</v>
      </c>
      <c r="E1663">
        <v>24482</v>
      </c>
    </row>
    <row r="1664" spans="4:5" ht="15" customHeight="1" x14ac:dyDescent="0.3">
      <c r="D1664" s="35">
        <f t="shared" si="50"/>
        <v>46335</v>
      </c>
      <c r="E1664">
        <v>24482</v>
      </c>
    </row>
    <row r="1665" spans="4:5" ht="15" customHeight="1" x14ac:dyDescent="0.3">
      <c r="D1665" s="35">
        <f t="shared" si="50"/>
        <v>46336</v>
      </c>
      <c r="E1665">
        <v>24482</v>
      </c>
    </row>
    <row r="1666" spans="4:5" ht="15" customHeight="1" x14ac:dyDescent="0.3">
      <c r="D1666" s="35">
        <f t="shared" si="50"/>
        <v>46337</v>
      </c>
      <c r="E1666">
        <v>24482</v>
      </c>
    </row>
    <row r="1667" spans="4:5" ht="15" customHeight="1" x14ac:dyDescent="0.3">
      <c r="D1667" s="35">
        <f t="shared" si="50"/>
        <v>46338</v>
      </c>
      <c r="E1667">
        <v>24482</v>
      </c>
    </row>
    <row r="1668" spans="4:5" ht="15" customHeight="1" x14ac:dyDescent="0.3">
      <c r="D1668" s="35">
        <f t="shared" si="50"/>
        <v>46339</v>
      </c>
      <c r="E1668">
        <v>24482</v>
      </c>
    </row>
    <row r="1669" spans="4:5" ht="15" customHeight="1" x14ac:dyDescent="0.3">
      <c r="D1669" s="35">
        <f t="shared" si="50"/>
        <v>46340</v>
      </c>
      <c r="E1669">
        <v>24482</v>
      </c>
    </row>
    <row r="1670" spans="4:5" ht="15" customHeight="1" x14ac:dyDescent="0.3">
      <c r="D1670" s="35">
        <f t="shared" si="50"/>
        <v>46341</v>
      </c>
      <c r="E1670">
        <v>24482</v>
      </c>
    </row>
    <row r="1671" spans="4:5" ht="15" customHeight="1" x14ac:dyDescent="0.3">
      <c r="D1671" s="35">
        <f t="shared" si="50"/>
        <v>46342</v>
      </c>
      <c r="E1671">
        <v>24482</v>
      </c>
    </row>
    <row r="1672" spans="4:5" ht="15" customHeight="1" x14ac:dyDescent="0.3">
      <c r="D1672" s="35">
        <f t="shared" si="50"/>
        <v>46343</v>
      </c>
      <c r="E1672">
        <v>24482</v>
      </c>
    </row>
    <row r="1673" spans="4:5" ht="15" customHeight="1" x14ac:dyDescent="0.3">
      <c r="D1673" s="35">
        <f t="shared" si="50"/>
        <v>46344</v>
      </c>
      <c r="E1673">
        <v>24482</v>
      </c>
    </row>
    <row r="1674" spans="4:5" ht="15" customHeight="1" x14ac:dyDescent="0.3">
      <c r="D1674" s="35">
        <f t="shared" si="50"/>
        <v>46345</v>
      </c>
      <c r="E1674">
        <v>24482</v>
      </c>
    </row>
    <row r="1675" spans="4:5" ht="15" customHeight="1" x14ac:dyDescent="0.3">
      <c r="D1675" s="35">
        <f t="shared" si="50"/>
        <v>46346</v>
      </c>
      <c r="E1675">
        <v>24482</v>
      </c>
    </row>
    <row r="1676" spans="4:5" ht="15" customHeight="1" x14ac:dyDescent="0.3">
      <c r="D1676" s="35">
        <f t="shared" si="50"/>
        <v>46347</v>
      </c>
      <c r="E1676">
        <v>24482</v>
      </c>
    </row>
    <row r="1677" spans="4:5" ht="15" customHeight="1" x14ac:dyDescent="0.3">
      <c r="D1677" s="35">
        <f t="shared" si="50"/>
        <v>46348</v>
      </c>
      <c r="E1677">
        <v>24482</v>
      </c>
    </row>
    <row r="1678" spans="4:5" ht="15" customHeight="1" x14ac:dyDescent="0.3">
      <c r="D1678" s="35">
        <f t="shared" si="50"/>
        <v>46349</v>
      </c>
      <c r="E1678">
        <v>24482</v>
      </c>
    </row>
    <row r="1679" spans="4:5" ht="15" customHeight="1" x14ac:dyDescent="0.3">
      <c r="D1679" s="35">
        <f t="shared" si="50"/>
        <v>46350</v>
      </c>
      <c r="E1679">
        <v>24482</v>
      </c>
    </row>
    <row r="1680" spans="4:5" ht="15" customHeight="1" x14ac:dyDescent="0.3">
      <c r="D1680" s="35">
        <f t="shared" ref="D1680:D1743" si="51">D1679+1</f>
        <v>46351</v>
      </c>
      <c r="E1680">
        <v>24482</v>
      </c>
    </row>
    <row r="1681" spans="4:5" ht="15" customHeight="1" x14ac:dyDescent="0.3">
      <c r="D1681" s="35">
        <f t="shared" si="51"/>
        <v>46352</v>
      </c>
      <c r="E1681">
        <v>24482</v>
      </c>
    </row>
    <row r="1682" spans="4:5" ht="15" customHeight="1" x14ac:dyDescent="0.3">
      <c r="D1682" s="35">
        <f t="shared" si="51"/>
        <v>46353</v>
      </c>
      <c r="E1682">
        <v>24482</v>
      </c>
    </row>
    <row r="1683" spans="4:5" ht="15" customHeight="1" x14ac:dyDescent="0.3">
      <c r="D1683" s="35">
        <f t="shared" si="51"/>
        <v>46354</v>
      </c>
      <c r="E1683">
        <v>24482</v>
      </c>
    </row>
    <row r="1684" spans="4:5" ht="15" customHeight="1" x14ac:dyDescent="0.3">
      <c r="D1684" s="35">
        <f t="shared" si="51"/>
        <v>46355</v>
      </c>
      <c r="E1684">
        <v>24482</v>
      </c>
    </row>
    <row r="1685" spans="4:5" ht="15" customHeight="1" x14ac:dyDescent="0.3">
      <c r="D1685" s="35">
        <f t="shared" si="51"/>
        <v>46356</v>
      </c>
      <c r="E1685">
        <v>24482</v>
      </c>
    </row>
    <row r="1686" spans="4:5" ht="15" customHeight="1" x14ac:dyDescent="0.3">
      <c r="D1686" s="35">
        <f t="shared" si="51"/>
        <v>46357</v>
      </c>
      <c r="E1686">
        <v>24482</v>
      </c>
    </row>
    <row r="1687" spans="4:5" ht="15" customHeight="1" x14ac:dyDescent="0.3">
      <c r="D1687" s="35">
        <f t="shared" si="51"/>
        <v>46358</v>
      </c>
      <c r="E1687">
        <v>24482</v>
      </c>
    </row>
    <row r="1688" spans="4:5" ht="15" customHeight="1" x14ac:dyDescent="0.3">
      <c r="D1688" s="35">
        <f t="shared" si="51"/>
        <v>46359</v>
      </c>
      <c r="E1688">
        <v>24482</v>
      </c>
    </row>
    <row r="1689" spans="4:5" ht="15" customHeight="1" x14ac:dyDescent="0.3">
      <c r="D1689" s="35">
        <f t="shared" si="51"/>
        <v>46360</v>
      </c>
      <c r="E1689">
        <v>24482</v>
      </c>
    </row>
    <row r="1690" spans="4:5" ht="15" customHeight="1" x14ac:dyDescent="0.3">
      <c r="D1690" s="35">
        <f t="shared" si="51"/>
        <v>46361</v>
      </c>
      <c r="E1690">
        <v>24482</v>
      </c>
    </row>
    <row r="1691" spans="4:5" ht="15" customHeight="1" x14ac:dyDescent="0.3">
      <c r="D1691" s="35">
        <f t="shared" si="51"/>
        <v>46362</v>
      </c>
      <c r="E1691">
        <v>24482</v>
      </c>
    </row>
    <row r="1692" spans="4:5" ht="15" customHeight="1" x14ac:dyDescent="0.3">
      <c r="D1692" s="35">
        <f t="shared" si="51"/>
        <v>46363</v>
      </c>
      <c r="E1692">
        <v>24482</v>
      </c>
    </row>
    <row r="1693" spans="4:5" ht="15" customHeight="1" x14ac:dyDescent="0.3">
      <c r="D1693" s="35">
        <f t="shared" si="51"/>
        <v>46364</v>
      </c>
      <c r="E1693">
        <v>24482</v>
      </c>
    </row>
    <row r="1694" spans="4:5" ht="15" customHeight="1" x14ac:dyDescent="0.3">
      <c r="D1694" s="35">
        <f t="shared" si="51"/>
        <v>46365</v>
      </c>
      <c r="E1694">
        <v>24482</v>
      </c>
    </row>
    <row r="1695" spans="4:5" ht="15" customHeight="1" x14ac:dyDescent="0.3">
      <c r="D1695" s="35">
        <f t="shared" si="51"/>
        <v>46366</v>
      </c>
      <c r="E1695">
        <v>24482</v>
      </c>
    </row>
    <row r="1696" spans="4:5" ht="15" customHeight="1" x14ac:dyDescent="0.3">
      <c r="D1696" s="35">
        <f t="shared" si="51"/>
        <v>46367</v>
      </c>
      <c r="E1696">
        <v>24482</v>
      </c>
    </row>
    <row r="1697" spans="4:5" ht="15" customHeight="1" x14ac:dyDescent="0.3">
      <c r="D1697" s="35">
        <f t="shared" si="51"/>
        <v>46368</v>
      </c>
      <c r="E1697">
        <v>24482</v>
      </c>
    </row>
    <row r="1698" spans="4:5" ht="15" customHeight="1" x14ac:dyDescent="0.3">
      <c r="D1698" s="35">
        <f t="shared" si="51"/>
        <v>46369</v>
      </c>
      <c r="E1698">
        <v>24482</v>
      </c>
    </row>
    <row r="1699" spans="4:5" ht="15" customHeight="1" x14ac:dyDescent="0.3">
      <c r="D1699" s="35">
        <f t="shared" si="51"/>
        <v>46370</v>
      </c>
      <c r="E1699">
        <v>24482</v>
      </c>
    </row>
    <row r="1700" spans="4:5" ht="15" customHeight="1" x14ac:dyDescent="0.3">
      <c r="D1700" s="35">
        <f t="shared" si="51"/>
        <v>46371</v>
      </c>
      <c r="E1700">
        <v>24482</v>
      </c>
    </row>
    <row r="1701" spans="4:5" ht="15" customHeight="1" x14ac:dyDescent="0.3">
      <c r="D1701" s="35">
        <f t="shared" si="51"/>
        <v>46372</v>
      </c>
      <c r="E1701">
        <v>24482</v>
      </c>
    </row>
    <row r="1702" spans="4:5" ht="15" customHeight="1" x14ac:dyDescent="0.3">
      <c r="D1702" s="35">
        <f t="shared" si="51"/>
        <v>46373</v>
      </c>
      <c r="E1702">
        <v>24482</v>
      </c>
    </row>
    <row r="1703" spans="4:5" ht="15" customHeight="1" x14ac:dyDescent="0.3">
      <c r="D1703" s="35">
        <f t="shared" si="51"/>
        <v>46374</v>
      </c>
      <c r="E1703">
        <v>24482</v>
      </c>
    </row>
    <row r="1704" spans="4:5" ht="15" customHeight="1" x14ac:dyDescent="0.3">
      <c r="D1704" s="35">
        <f t="shared" si="51"/>
        <v>46375</v>
      </c>
      <c r="E1704">
        <v>24482</v>
      </c>
    </row>
    <row r="1705" spans="4:5" ht="15" customHeight="1" x14ac:dyDescent="0.3">
      <c r="D1705" s="35">
        <f t="shared" si="51"/>
        <v>46376</v>
      </c>
      <c r="E1705">
        <v>24482</v>
      </c>
    </row>
    <row r="1706" spans="4:5" ht="15" customHeight="1" x14ac:dyDescent="0.3">
      <c r="D1706" s="35">
        <f t="shared" si="51"/>
        <v>46377</v>
      </c>
      <c r="E1706">
        <v>24482</v>
      </c>
    </row>
    <row r="1707" spans="4:5" ht="15" customHeight="1" x14ac:dyDescent="0.3">
      <c r="D1707" s="35">
        <f t="shared" si="51"/>
        <v>46378</v>
      </c>
      <c r="E1707">
        <v>24482</v>
      </c>
    </row>
    <row r="1708" spans="4:5" ht="15" customHeight="1" x14ac:dyDescent="0.3">
      <c r="D1708" s="35">
        <f t="shared" si="51"/>
        <v>46379</v>
      </c>
      <c r="E1708">
        <v>24482</v>
      </c>
    </row>
    <row r="1709" spans="4:5" ht="15" customHeight="1" x14ac:dyDescent="0.3">
      <c r="D1709" s="35">
        <f t="shared" si="51"/>
        <v>46380</v>
      </c>
      <c r="E1709">
        <v>24482</v>
      </c>
    </row>
    <row r="1710" spans="4:5" ht="15" customHeight="1" x14ac:dyDescent="0.3">
      <c r="D1710" s="35">
        <f t="shared" si="51"/>
        <v>46381</v>
      </c>
      <c r="E1710">
        <v>24482</v>
      </c>
    </row>
    <row r="1711" spans="4:5" ht="15" customHeight="1" x14ac:dyDescent="0.3">
      <c r="D1711" s="35">
        <f t="shared" si="51"/>
        <v>46382</v>
      </c>
      <c r="E1711">
        <v>24482</v>
      </c>
    </row>
    <row r="1712" spans="4:5" ht="15" customHeight="1" x14ac:dyDescent="0.3">
      <c r="D1712" s="35">
        <f t="shared" si="51"/>
        <v>46383</v>
      </c>
      <c r="E1712">
        <v>24482</v>
      </c>
    </row>
    <row r="1713" spans="4:5" ht="15" customHeight="1" x14ac:dyDescent="0.3">
      <c r="D1713" s="35">
        <f t="shared" si="51"/>
        <v>46384</v>
      </c>
      <c r="E1713">
        <v>24482</v>
      </c>
    </row>
    <row r="1714" spans="4:5" ht="15" customHeight="1" x14ac:dyDescent="0.3">
      <c r="D1714" s="35">
        <f t="shared" si="51"/>
        <v>46385</v>
      </c>
      <c r="E1714">
        <v>24482</v>
      </c>
    </row>
    <row r="1715" spans="4:5" ht="15" customHeight="1" x14ac:dyDescent="0.3">
      <c r="D1715" s="35">
        <f t="shared" si="51"/>
        <v>46386</v>
      </c>
      <c r="E1715">
        <v>24482</v>
      </c>
    </row>
    <row r="1716" spans="4:5" ht="15" customHeight="1" x14ac:dyDescent="0.3">
      <c r="D1716" s="35">
        <f t="shared" si="51"/>
        <v>46387</v>
      </c>
      <c r="E1716">
        <v>24482</v>
      </c>
    </row>
    <row r="1717" spans="4:5" ht="15" customHeight="1" x14ac:dyDescent="0.3">
      <c r="D1717" s="35">
        <f t="shared" si="51"/>
        <v>46388</v>
      </c>
      <c r="E1717">
        <v>24482</v>
      </c>
    </row>
    <row r="1718" spans="4:5" ht="15" customHeight="1" x14ac:dyDescent="0.3">
      <c r="D1718" s="35">
        <f t="shared" si="51"/>
        <v>46389</v>
      </c>
      <c r="E1718">
        <v>24482</v>
      </c>
    </row>
    <row r="1719" spans="4:5" ht="15" customHeight="1" x14ac:dyDescent="0.3">
      <c r="D1719" s="35">
        <f t="shared" si="51"/>
        <v>46390</v>
      </c>
      <c r="E1719">
        <v>24482</v>
      </c>
    </row>
    <row r="1720" spans="4:5" ht="15" customHeight="1" x14ac:dyDescent="0.3">
      <c r="D1720" s="35">
        <f t="shared" si="51"/>
        <v>46391</v>
      </c>
      <c r="E1720">
        <v>24482</v>
      </c>
    </row>
    <row r="1721" spans="4:5" ht="15" customHeight="1" x14ac:dyDescent="0.3">
      <c r="D1721" s="35">
        <f t="shared" si="51"/>
        <v>46392</v>
      </c>
      <c r="E1721">
        <v>24482</v>
      </c>
    </row>
    <row r="1722" spans="4:5" ht="15" customHeight="1" x14ac:dyDescent="0.3">
      <c r="D1722" s="35">
        <f t="shared" si="51"/>
        <v>46393</v>
      </c>
      <c r="E1722">
        <v>24482</v>
      </c>
    </row>
    <row r="1723" spans="4:5" ht="15" customHeight="1" x14ac:dyDescent="0.3">
      <c r="D1723" s="35">
        <f t="shared" si="51"/>
        <v>46394</v>
      </c>
      <c r="E1723">
        <v>24482</v>
      </c>
    </row>
    <row r="1724" spans="4:5" ht="15" customHeight="1" x14ac:dyDescent="0.3">
      <c r="D1724" s="35">
        <f t="shared" si="51"/>
        <v>46395</v>
      </c>
      <c r="E1724">
        <v>24482</v>
      </c>
    </row>
    <row r="1725" spans="4:5" ht="15" customHeight="1" x14ac:dyDescent="0.3">
      <c r="D1725" s="35">
        <f t="shared" si="51"/>
        <v>46396</v>
      </c>
      <c r="E1725">
        <v>24482</v>
      </c>
    </row>
    <row r="1726" spans="4:5" ht="15" customHeight="1" x14ac:dyDescent="0.3">
      <c r="D1726" s="35">
        <f t="shared" si="51"/>
        <v>46397</v>
      </c>
      <c r="E1726">
        <v>24482</v>
      </c>
    </row>
    <row r="1727" spans="4:5" ht="15" customHeight="1" x14ac:dyDescent="0.3">
      <c r="D1727" s="35">
        <f t="shared" si="51"/>
        <v>46398</v>
      </c>
      <c r="E1727">
        <v>24482</v>
      </c>
    </row>
    <row r="1728" spans="4:5" ht="15" customHeight="1" x14ac:dyDescent="0.3">
      <c r="D1728" s="35">
        <f t="shared" si="51"/>
        <v>46399</v>
      </c>
      <c r="E1728">
        <v>24482</v>
      </c>
    </row>
    <row r="1729" spans="4:5" ht="15" customHeight="1" x14ac:dyDescent="0.3">
      <c r="D1729" s="35">
        <f t="shared" si="51"/>
        <v>46400</v>
      </c>
      <c r="E1729">
        <v>24482</v>
      </c>
    </row>
    <row r="1730" spans="4:5" ht="15" customHeight="1" x14ac:dyDescent="0.3">
      <c r="D1730" s="35">
        <f t="shared" si="51"/>
        <v>46401</v>
      </c>
      <c r="E1730">
        <v>24482</v>
      </c>
    </row>
    <row r="1731" spans="4:5" ht="15" customHeight="1" x14ac:dyDescent="0.3">
      <c r="D1731" s="35">
        <f t="shared" si="51"/>
        <v>46402</v>
      </c>
      <c r="E1731">
        <v>24482</v>
      </c>
    </row>
    <row r="1732" spans="4:5" ht="15" customHeight="1" x14ac:dyDescent="0.3">
      <c r="D1732" s="35">
        <f t="shared" si="51"/>
        <v>46403</v>
      </c>
      <c r="E1732">
        <v>24482</v>
      </c>
    </row>
    <row r="1733" spans="4:5" ht="15" customHeight="1" x14ac:dyDescent="0.3">
      <c r="D1733" s="35">
        <f t="shared" si="51"/>
        <v>46404</v>
      </c>
      <c r="E1733">
        <v>24482</v>
      </c>
    </row>
    <row r="1734" spans="4:5" ht="15" customHeight="1" x14ac:dyDescent="0.3">
      <c r="D1734" s="35">
        <f t="shared" si="51"/>
        <v>46405</v>
      </c>
      <c r="E1734">
        <v>24482</v>
      </c>
    </row>
    <row r="1735" spans="4:5" ht="15" customHeight="1" x14ac:dyDescent="0.3">
      <c r="D1735" s="35">
        <f t="shared" si="51"/>
        <v>46406</v>
      </c>
      <c r="E1735">
        <v>24482</v>
      </c>
    </row>
    <row r="1736" spans="4:5" ht="15" customHeight="1" x14ac:dyDescent="0.3">
      <c r="D1736" s="35">
        <f t="shared" si="51"/>
        <v>46407</v>
      </c>
      <c r="E1736">
        <v>24482</v>
      </c>
    </row>
    <row r="1737" spans="4:5" ht="15" customHeight="1" x14ac:dyDescent="0.3">
      <c r="D1737" s="35">
        <f t="shared" si="51"/>
        <v>46408</v>
      </c>
      <c r="E1737">
        <v>24482</v>
      </c>
    </row>
    <row r="1738" spans="4:5" ht="15" customHeight="1" x14ac:dyDescent="0.3">
      <c r="D1738" s="35">
        <f t="shared" si="51"/>
        <v>46409</v>
      </c>
      <c r="E1738">
        <v>24482</v>
      </c>
    </row>
    <row r="1739" spans="4:5" ht="15" customHeight="1" x14ac:dyDescent="0.3">
      <c r="D1739" s="35">
        <f t="shared" si="51"/>
        <v>46410</v>
      </c>
      <c r="E1739">
        <v>24482</v>
      </c>
    </row>
    <row r="1740" spans="4:5" ht="15" customHeight="1" x14ac:dyDescent="0.3">
      <c r="D1740" s="35">
        <f t="shared" si="51"/>
        <v>46411</v>
      </c>
      <c r="E1740">
        <v>24482</v>
      </c>
    </row>
    <row r="1741" spans="4:5" ht="15" customHeight="1" x14ac:dyDescent="0.3">
      <c r="D1741" s="35">
        <f t="shared" si="51"/>
        <v>46412</v>
      </c>
      <c r="E1741">
        <v>24482</v>
      </c>
    </row>
    <row r="1742" spans="4:5" ht="15" customHeight="1" x14ac:dyDescent="0.3">
      <c r="D1742" s="35">
        <f t="shared" si="51"/>
        <v>46413</v>
      </c>
      <c r="E1742">
        <v>24482</v>
      </c>
    </row>
    <row r="1743" spans="4:5" ht="15" customHeight="1" x14ac:dyDescent="0.3">
      <c r="D1743" s="35">
        <f t="shared" si="51"/>
        <v>46414</v>
      </c>
      <c r="E1743">
        <v>24482</v>
      </c>
    </row>
    <row r="1744" spans="4:5" ht="15" customHeight="1" x14ac:dyDescent="0.3">
      <c r="D1744" s="35">
        <f t="shared" ref="D1744:D1807" si="52">D1743+1</f>
        <v>46415</v>
      </c>
      <c r="E1744">
        <v>24482</v>
      </c>
    </row>
    <row r="1745" spans="4:5" ht="15" customHeight="1" x14ac:dyDescent="0.3">
      <c r="D1745" s="35">
        <f t="shared" si="52"/>
        <v>46416</v>
      </c>
      <c r="E1745">
        <v>24482</v>
      </c>
    </row>
    <row r="1746" spans="4:5" ht="15" customHeight="1" x14ac:dyDescent="0.3">
      <c r="D1746" s="35">
        <f t="shared" si="52"/>
        <v>46417</v>
      </c>
      <c r="E1746">
        <v>24482</v>
      </c>
    </row>
    <row r="1747" spans="4:5" ht="15" customHeight="1" x14ac:dyDescent="0.3">
      <c r="D1747" s="35">
        <f t="shared" si="52"/>
        <v>46418</v>
      </c>
      <c r="E1747">
        <v>24482</v>
      </c>
    </row>
    <row r="1748" spans="4:5" ht="15" customHeight="1" x14ac:dyDescent="0.3">
      <c r="D1748" s="35">
        <f t="shared" si="52"/>
        <v>46419</v>
      </c>
      <c r="E1748">
        <v>24482</v>
      </c>
    </row>
    <row r="1749" spans="4:5" ht="15" customHeight="1" x14ac:dyDescent="0.3">
      <c r="D1749" s="35">
        <f t="shared" si="52"/>
        <v>46420</v>
      </c>
      <c r="E1749">
        <v>24482</v>
      </c>
    </row>
    <row r="1750" spans="4:5" ht="15" customHeight="1" x14ac:dyDescent="0.3">
      <c r="D1750" s="35">
        <f t="shared" si="52"/>
        <v>46421</v>
      </c>
      <c r="E1750">
        <v>24482</v>
      </c>
    </row>
    <row r="1751" spans="4:5" ht="15" customHeight="1" x14ac:dyDescent="0.3">
      <c r="D1751" s="35">
        <f t="shared" si="52"/>
        <v>46422</v>
      </c>
      <c r="E1751">
        <v>24482</v>
      </c>
    </row>
    <row r="1752" spans="4:5" ht="15" customHeight="1" x14ac:dyDescent="0.3">
      <c r="D1752" s="35">
        <f t="shared" si="52"/>
        <v>46423</v>
      </c>
      <c r="E1752">
        <v>24482</v>
      </c>
    </row>
    <row r="1753" spans="4:5" ht="15" customHeight="1" x14ac:dyDescent="0.3">
      <c r="D1753" s="35">
        <f t="shared" si="52"/>
        <v>46424</v>
      </c>
      <c r="E1753">
        <v>24482</v>
      </c>
    </row>
    <row r="1754" spans="4:5" ht="15" customHeight="1" x14ac:dyDescent="0.3">
      <c r="D1754" s="35">
        <f t="shared" si="52"/>
        <v>46425</v>
      </c>
      <c r="E1754">
        <v>24482</v>
      </c>
    </row>
    <row r="1755" spans="4:5" ht="15" customHeight="1" x14ac:dyDescent="0.3">
      <c r="D1755" s="35">
        <f t="shared" si="52"/>
        <v>46426</v>
      </c>
      <c r="E1755">
        <v>24482</v>
      </c>
    </row>
    <row r="1756" spans="4:5" ht="15" customHeight="1" x14ac:dyDescent="0.3">
      <c r="D1756" s="35">
        <f t="shared" si="52"/>
        <v>46427</v>
      </c>
      <c r="E1756">
        <v>24482</v>
      </c>
    </row>
    <row r="1757" spans="4:5" ht="15" customHeight="1" x14ac:dyDescent="0.3">
      <c r="D1757" s="35">
        <f t="shared" si="52"/>
        <v>46428</v>
      </c>
      <c r="E1757">
        <v>24482</v>
      </c>
    </row>
    <row r="1758" spans="4:5" ht="15" customHeight="1" x14ac:dyDescent="0.3">
      <c r="D1758" s="35">
        <f t="shared" si="52"/>
        <v>46429</v>
      </c>
      <c r="E1758">
        <v>24482</v>
      </c>
    </row>
    <row r="1759" spans="4:5" ht="15" customHeight="1" x14ac:dyDescent="0.3">
      <c r="D1759" s="35">
        <f t="shared" si="52"/>
        <v>46430</v>
      </c>
      <c r="E1759">
        <v>24482</v>
      </c>
    </row>
    <row r="1760" spans="4:5" ht="15" customHeight="1" x14ac:dyDescent="0.3">
      <c r="D1760" s="35">
        <f t="shared" si="52"/>
        <v>46431</v>
      </c>
      <c r="E1760">
        <v>24482</v>
      </c>
    </row>
    <row r="1761" spans="4:5" ht="15" customHeight="1" x14ac:dyDescent="0.3">
      <c r="D1761" s="35">
        <f t="shared" si="52"/>
        <v>46432</v>
      </c>
      <c r="E1761">
        <v>24482</v>
      </c>
    </row>
    <row r="1762" spans="4:5" ht="15" customHeight="1" x14ac:dyDescent="0.3">
      <c r="D1762" s="35">
        <f t="shared" si="52"/>
        <v>46433</v>
      </c>
      <c r="E1762">
        <v>24482</v>
      </c>
    </row>
    <row r="1763" spans="4:5" ht="15" customHeight="1" x14ac:dyDescent="0.3">
      <c r="D1763" s="35">
        <f t="shared" si="52"/>
        <v>46434</v>
      </c>
      <c r="E1763">
        <v>24482</v>
      </c>
    </row>
    <row r="1764" spans="4:5" ht="15" customHeight="1" x14ac:dyDescent="0.3">
      <c r="D1764" s="35">
        <f t="shared" si="52"/>
        <v>46435</v>
      </c>
      <c r="E1764">
        <v>24482</v>
      </c>
    </row>
    <row r="1765" spans="4:5" ht="15" customHeight="1" x14ac:dyDescent="0.3">
      <c r="D1765" s="35">
        <f t="shared" si="52"/>
        <v>46436</v>
      </c>
      <c r="E1765">
        <v>24482</v>
      </c>
    </row>
    <row r="1766" spans="4:5" ht="15" customHeight="1" x14ac:dyDescent="0.3">
      <c r="D1766" s="35">
        <f t="shared" si="52"/>
        <v>46437</v>
      </c>
      <c r="E1766">
        <v>24482</v>
      </c>
    </row>
    <row r="1767" spans="4:5" ht="15" customHeight="1" x14ac:dyDescent="0.3">
      <c r="D1767" s="35">
        <f t="shared" si="52"/>
        <v>46438</v>
      </c>
      <c r="E1767">
        <v>24482</v>
      </c>
    </row>
    <row r="1768" spans="4:5" ht="15" customHeight="1" x14ac:dyDescent="0.3">
      <c r="D1768" s="35">
        <f t="shared" si="52"/>
        <v>46439</v>
      </c>
      <c r="E1768">
        <v>24482</v>
      </c>
    </row>
    <row r="1769" spans="4:5" ht="15" customHeight="1" x14ac:dyDescent="0.3">
      <c r="D1769" s="35">
        <f t="shared" si="52"/>
        <v>46440</v>
      </c>
      <c r="E1769">
        <v>24482</v>
      </c>
    </row>
    <row r="1770" spans="4:5" ht="15" customHeight="1" x14ac:dyDescent="0.3">
      <c r="D1770" s="35">
        <f t="shared" si="52"/>
        <v>46441</v>
      </c>
      <c r="E1770">
        <v>24482</v>
      </c>
    </row>
    <row r="1771" spans="4:5" ht="15" customHeight="1" x14ac:dyDescent="0.3">
      <c r="D1771" s="35">
        <f t="shared" si="52"/>
        <v>46442</v>
      </c>
      <c r="E1771">
        <v>24482</v>
      </c>
    </row>
    <row r="1772" spans="4:5" ht="15" customHeight="1" x14ac:dyDescent="0.3">
      <c r="D1772" s="35">
        <f t="shared" si="52"/>
        <v>46443</v>
      </c>
      <c r="E1772">
        <v>24482</v>
      </c>
    </row>
    <row r="1773" spans="4:5" ht="15" customHeight="1" x14ac:dyDescent="0.3">
      <c r="D1773" s="35">
        <f t="shared" si="52"/>
        <v>46444</v>
      </c>
      <c r="E1773">
        <v>24482</v>
      </c>
    </row>
    <row r="1774" spans="4:5" ht="15" customHeight="1" x14ac:dyDescent="0.3">
      <c r="D1774" s="35">
        <f t="shared" si="52"/>
        <v>46445</v>
      </c>
      <c r="E1774">
        <v>24482</v>
      </c>
    </row>
    <row r="1775" spans="4:5" ht="15" customHeight="1" x14ac:dyDescent="0.3">
      <c r="D1775" s="35">
        <f t="shared" si="52"/>
        <v>46446</v>
      </c>
      <c r="E1775">
        <v>24482</v>
      </c>
    </row>
    <row r="1776" spans="4:5" ht="15" customHeight="1" x14ac:dyDescent="0.3">
      <c r="D1776" s="35">
        <f t="shared" si="52"/>
        <v>46447</v>
      </c>
      <c r="E1776">
        <v>24482</v>
      </c>
    </row>
    <row r="1777" spans="4:5" ht="15" customHeight="1" x14ac:dyDescent="0.3">
      <c r="D1777" s="35">
        <f t="shared" si="52"/>
        <v>46448</v>
      </c>
      <c r="E1777">
        <v>24482</v>
      </c>
    </row>
    <row r="1778" spans="4:5" ht="15" customHeight="1" x14ac:dyDescent="0.3">
      <c r="D1778" s="35">
        <f t="shared" si="52"/>
        <v>46449</v>
      </c>
      <c r="E1778">
        <v>24482</v>
      </c>
    </row>
    <row r="1779" spans="4:5" ht="15" customHeight="1" x14ac:dyDescent="0.3">
      <c r="D1779" s="35">
        <f t="shared" si="52"/>
        <v>46450</v>
      </c>
      <c r="E1779">
        <v>24482</v>
      </c>
    </row>
    <row r="1780" spans="4:5" ht="15" customHeight="1" x14ac:dyDescent="0.3">
      <c r="D1780" s="35">
        <f t="shared" si="52"/>
        <v>46451</v>
      </c>
      <c r="E1780">
        <v>24482</v>
      </c>
    </row>
    <row r="1781" spans="4:5" ht="15" customHeight="1" x14ac:dyDescent="0.3">
      <c r="D1781" s="35">
        <f t="shared" si="52"/>
        <v>46452</v>
      </c>
      <c r="E1781">
        <v>24482</v>
      </c>
    </row>
    <row r="1782" spans="4:5" ht="15" customHeight="1" x14ac:dyDescent="0.3">
      <c r="D1782" s="35">
        <f t="shared" si="52"/>
        <v>46453</v>
      </c>
      <c r="E1782">
        <v>24482</v>
      </c>
    </row>
    <row r="1783" spans="4:5" ht="15" customHeight="1" x14ac:dyDescent="0.3">
      <c r="D1783" s="35">
        <f t="shared" si="52"/>
        <v>46454</v>
      </c>
      <c r="E1783">
        <v>24482</v>
      </c>
    </row>
    <row r="1784" spans="4:5" ht="15" customHeight="1" x14ac:dyDescent="0.3">
      <c r="D1784" s="35">
        <f t="shared" si="52"/>
        <v>46455</v>
      </c>
      <c r="E1784">
        <v>24482</v>
      </c>
    </row>
    <row r="1785" spans="4:5" ht="15" customHeight="1" x14ac:dyDescent="0.3">
      <c r="D1785" s="35">
        <f t="shared" si="52"/>
        <v>46456</v>
      </c>
      <c r="E1785">
        <v>24482</v>
      </c>
    </row>
    <row r="1786" spans="4:5" ht="15" customHeight="1" x14ac:dyDescent="0.3">
      <c r="D1786" s="35">
        <f t="shared" si="52"/>
        <v>46457</v>
      </c>
      <c r="E1786">
        <v>24482</v>
      </c>
    </row>
    <row r="1787" spans="4:5" ht="15" customHeight="1" x14ac:dyDescent="0.3">
      <c r="D1787" s="35">
        <f t="shared" si="52"/>
        <v>46458</v>
      </c>
      <c r="E1787">
        <v>24482</v>
      </c>
    </row>
    <row r="1788" spans="4:5" ht="15" customHeight="1" x14ac:dyDescent="0.3">
      <c r="D1788" s="35">
        <f t="shared" si="52"/>
        <v>46459</v>
      </c>
      <c r="E1788">
        <v>24482</v>
      </c>
    </row>
    <row r="1789" spans="4:5" ht="15" customHeight="1" x14ac:dyDescent="0.3">
      <c r="D1789" s="35">
        <f t="shared" si="52"/>
        <v>46460</v>
      </c>
      <c r="E1789">
        <v>24482</v>
      </c>
    </row>
    <row r="1790" spans="4:5" ht="15" customHeight="1" x14ac:dyDescent="0.3">
      <c r="D1790" s="35">
        <f t="shared" si="52"/>
        <v>46461</v>
      </c>
      <c r="E1790">
        <v>24482</v>
      </c>
    </row>
    <row r="1791" spans="4:5" ht="15" customHeight="1" x14ac:dyDescent="0.3">
      <c r="D1791" s="35">
        <f t="shared" si="52"/>
        <v>46462</v>
      </c>
      <c r="E1791">
        <v>24482</v>
      </c>
    </row>
    <row r="1792" spans="4:5" ht="15" customHeight="1" x14ac:dyDescent="0.3">
      <c r="D1792" s="35">
        <f t="shared" si="52"/>
        <v>46463</v>
      </c>
      <c r="E1792">
        <v>24482</v>
      </c>
    </row>
    <row r="1793" spans="4:5" ht="15" customHeight="1" x14ac:dyDescent="0.3">
      <c r="D1793" s="35">
        <f t="shared" si="52"/>
        <v>46464</v>
      </c>
      <c r="E1793">
        <v>24482</v>
      </c>
    </row>
    <row r="1794" spans="4:5" ht="15" customHeight="1" x14ac:dyDescent="0.3">
      <c r="D1794" s="35">
        <f t="shared" si="52"/>
        <v>46465</v>
      </c>
      <c r="E1794">
        <v>24482</v>
      </c>
    </row>
    <row r="1795" spans="4:5" ht="15" customHeight="1" x14ac:dyDescent="0.3">
      <c r="D1795" s="35">
        <f t="shared" si="52"/>
        <v>46466</v>
      </c>
      <c r="E1795">
        <v>24482</v>
      </c>
    </row>
    <row r="1796" spans="4:5" ht="15" customHeight="1" x14ac:dyDescent="0.3">
      <c r="D1796" s="35">
        <f t="shared" si="52"/>
        <v>46467</v>
      </c>
      <c r="E1796">
        <v>24482</v>
      </c>
    </row>
    <row r="1797" spans="4:5" ht="15" customHeight="1" x14ac:dyDescent="0.3">
      <c r="D1797" s="35">
        <f t="shared" si="52"/>
        <v>46468</v>
      </c>
      <c r="E1797">
        <v>24482</v>
      </c>
    </row>
    <row r="1798" spans="4:5" ht="15" customHeight="1" x14ac:dyDescent="0.3">
      <c r="D1798" s="35">
        <f t="shared" si="52"/>
        <v>46469</v>
      </c>
      <c r="E1798">
        <v>24482</v>
      </c>
    </row>
    <row r="1799" spans="4:5" ht="15" customHeight="1" x14ac:dyDescent="0.3">
      <c r="D1799" s="35">
        <f t="shared" si="52"/>
        <v>46470</v>
      </c>
      <c r="E1799">
        <v>24482</v>
      </c>
    </row>
    <row r="1800" spans="4:5" ht="15" customHeight="1" x14ac:dyDescent="0.3">
      <c r="D1800" s="35">
        <f t="shared" si="52"/>
        <v>46471</v>
      </c>
      <c r="E1800">
        <v>24482</v>
      </c>
    </row>
    <row r="1801" spans="4:5" ht="15" customHeight="1" x14ac:dyDescent="0.3">
      <c r="D1801" s="35">
        <f t="shared" si="52"/>
        <v>46472</v>
      </c>
      <c r="E1801">
        <v>24482</v>
      </c>
    </row>
    <row r="1802" spans="4:5" ht="15" customHeight="1" x14ac:dyDescent="0.3">
      <c r="D1802" s="35">
        <f t="shared" si="52"/>
        <v>46473</v>
      </c>
      <c r="E1802">
        <v>24482</v>
      </c>
    </row>
    <row r="1803" spans="4:5" ht="15" customHeight="1" x14ac:dyDescent="0.3">
      <c r="D1803" s="35">
        <f t="shared" si="52"/>
        <v>46474</v>
      </c>
      <c r="E1803">
        <v>24482</v>
      </c>
    </row>
    <row r="1804" spans="4:5" ht="15" customHeight="1" x14ac:dyDescent="0.3">
      <c r="D1804" s="35">
        <f t="shared" si="52"/>
        <v>46475</v>
      </c>
      <c r="E1804">
        <v>24482</v>
      </c>
    </row>
    <row r="1805" spans="4:5" ht="15" customHeight="1" x14ac:dyDescent="0.3">
      <c r="D1805" s="35">
        <f t="shared" si="52"/>
        <v>46476</v>
      </c>
      <c r="E1805">
        <v>24482</v>
      </c>
    </row>
    <row r="1806" spans="4:5" ht="15" customHeight="1" x14ac:dyDescent="0.3">
      <c r="D1806" s="35">
        <f t="shared" si="52"/>
        <v>46477</v>
      </c>
      <c r="E1806">
        <v>24482</v>
      </c>
    </row>
    <row r="1807" spans="4:5" ht="15" customHeight="1" x14ac:dyDescent="0.3">
      <c r="D1807" s="35">
        <f t="shared" si="52"/>
        <v>46478</v>
      </c>
      <c r="E1807">
        <v>24482</v>
      </c>
    </row>
    <row r="1808" spans="4:5" ht="15" customHeight="1" x14ac:dyDescent="0.3">
      <c r="D1808" s="35">
        <f t="shared" ref="D1808:D1817" si="53">D1807+1</f>
        <v>46479</v>
      </c>
      <c r="E1808">
        <v>24482</v>
      </c>
    </row>
    <row r="1809" spans="4:5" ht="15" customHeight="1" x14ac:dyDescent="0.3">
      <c r="D1809" s="35">
        <f t="shared" si="53"/>
        <v>46480</v>
      </c>
      <c r="E1809">
        <v>24482</v>
      </c>
    </row>
    <row r="1810" spans="4:5" ht="15" customHeight="1" x14ac:dyDescent="0.3">
      <c r="D1810" s="35">
        <f t="shared" si="53"/>
        <v>46481</v>
      </c>
      <c r="E1810">
        <v>24482</v>
      </c>
    </row>
    <row r="1811" spans="4:5" ht="15" customHeight="1" x14ac:dyDescent="0.3">
      <c r="D1811" s="35">
        <f t="shared" si="53"/>
        <v>46482</v>
      </c>
      <c r="E1811">
        <v>24482</v>
      </c>
    </row>
    <row r="1812" spans="4:5" ht="15" customHeight="1" x14ac:dyDescent="0.3">
      <c r="D1812" s="35">
        <f t="shared" si="53"/>
        <v>46483</v>
      </c>
      <c r="E1812">
        <v>24482</v>
      </c>
    </row>
    <row r="1813" spans="4:5" ht="15" customHeight="1" x14ac:dyDescent="0.3">
      <c r="D1813" s="35">
        <f t="shared" si="53"/>
        <v>46484</v>
      </c>
      <c r="E1813">
        <v>24482</v>
      </c>
    </row>
    <row r="1814" spans="4:5" ht="15" customHeight="1" x14ac:dyDescent="0.3">
      <c r="D1814" s="35">
        <f t="shared" si="53"/>
        <v>46485</v>
      </c>
      <c r="E1814">
        <v>24482</v>
      </c>
    </row>
    <row r="1815" spans="4:5" ht="15" customHeight="1" x14ac:dyDescent="0.3">
      <c r="D1815" s="35">
        <f t="shared" si="53"/>
        <v>46486</v>
      </c>
      <c r="E1815">
        <v>24482</v>
      </c>
    </row>
    <row r="1816" spans="4:5" ht="15" customHeight="1" x14ac:dyDescent="0.3">
      <c r="D1816" s="35">
        <f t="shared" si="53"/>
        <v>46487</v>
      </c>
      <c r="E1816">
        <v>24482</v>
      </c>
    </row>
    <row r="1817" spans="4:5" ht="15" customHeight="1" x14ac:dyDescent="0.3">
      <c r="D1817" s="35">
        <f t="shared" si="53"/>
        <v>46488</v>
      </c>
      <c r="E1817">
        <v>24482</v>
      </c>
    </row>
  </sheetData>
  <autoFilter ref="A2:B2" xr:uid="{00000000-0009-0000-0000-000006000000}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T1431"/>
  <sheetViews>
    <sheetView zoomScaleNormal="100" workbookViewId="0">
      <selection activeCell="F3" sqref="F3"/>
    </sheetView>
  </sheetViews>
  <sheetFormatPr defaultColWidth="8.59765625" defaultRowHeight="15.6" x14ac:dyDescent="0.3"/>
  <cols>
    <col min="1" max="1" width="14.09765625" customWidth="1"/>
    <col min="2" max="2" width="9.09765625" style="2" customWidth="1"/>
    <col min="4" max="5" width="10.5" customWidth="1"/>
    <col min="6" max="6" width="10.09765625" customWidth="1"/>
    <col min="7" max="7" width="10.5" customWidth="1"/>
    <col min="8" max="8" width="10.09765625" style="2" customWidth="1"/>
    <col min="9" max="10" width="10.09765625" customWidth="1"/>
    <col min="11" max="11" width="10.5" customWidth="1"/>
    <col min="12" max="68" width="10.09765625" customWidth="1"/>
  </cols>
  <sheetData>
    <row r="1" spans="1:72" ht="15" customHeight="1" x14ac:dyDescent="0.3">
      <c r="A1" t="s">
        <v>27</v>
      </c>
      <c r="D1" t="s">
        <v>358</v>
      </c>
    </row>
    <row r="2" spans="1:72" ht="15" customHeight="1" x14ac:dyDescent="0.3">
      <c r="A2" t="s">
        <v>29</v>
      </c>
      <c r="B2" s="2" t="s">
        <v>30</v>
      </c>
      <c r="D2" s="41" t="s">
        <v>354</v>
      </c>
      <c r="E2" s="41" t="s">
        <v>355</v>
      </c>
      <c r="F2" s="41"/>
      <c r="G2" s="35" t="s">
        <v>356</v>
      </c>
      <c r="H2" s="2" t="s">
        <v>355</v>
      </c>
      <c r="I2" s="41"/>
      <c r="J2" s="41"/>
      <c r="K2" s="35">
        <v>44105</v>
      </c>
      <c r="L2" s="35">
        <v>44136</v>
      </c>
      <c r="M2" s="35">
        <v>44166</v>
      </c>
      <c r="N2" s="35">
        <v>44197</v>
      </c>
      <c r="O2" s="35">
        <v>44228</v>
      </c>
      <c r="P2" s="35">
        <v>44256</v>
      </c>
      <c r="Q2" s="35">
        <v>44287</v>
      </c>
      <c r="R2" s="35">
        <v>44317</v>
      </c>
      <c r="S2" s="35">
        <v>44348</v>
      </c>
      <c r="T2" s="35">
        <v>44378</v>
      </c>
      <c r="U2" s="35">
        <v>44409</v>
      </c>
      <c r="V2" s="35">
        <v>44440</v>
      </c>
      <c r="W2" s="35">
        <v>44470</v>
      </c>
      <c r="X2" s="35">
        <v>44501</v>
      </c>
      <c r="Y2" s="35">
        <v>44531</v>
      </c>
      <c r="Z2" s="35">
        <v>44562</v>
      </c>
      <c r="AA2" s="35">
        <v>44593</v>
      </c>
      <c r="AB2" s="35">
        <v>44621</v>
      </c>
      <c r="AC2" s="35">
        <v>44652</v>
      </c>
      <c r="AD2" s="35">
        <v>44682</v>
      </c>
      <c r="AE2" s="35">
        <v>44713</v>
      </c>
      <c r="AF2" s="35">
        <v>44743</v>
      </c>
      <c r="AG2" s="35">
        <v>44774</v>
      </c>
      <c r="AH2" s="35">
        <v>44805</v>
      </c>
      <c r="AI2" s="35">
        <v>44835</v>
      </c>
      <c r="AJ2" s="35">
        <v>44866</v>
      </c>
      <c r="AK2" s="35">
        <v>44896</v>
      </c>
      <c r="AL2" s="35">
        <v>44927</v>
      </c>
      <c r="AM2" s="35">
        <v>44958</v>
      </c>
      <c r="AN2" s="35">
        <v>44986</v>
      </c>
      <c r="AO2" s="35">
        <v>45017</v>
      </c>
      <c r="AP2" s="35">
        <v>45047</v>
      </c>
      <c r="AQ2" s="35">
        <v>45078</v>
      </c>
      <c r="AR2" s="35">
        <v>45108</v>
      </c>
      <c r="AS2" s="35">
        <v>45139</v>
      </c>
      <c r="AT2" s="35">
        <v>45170</v>
      </c>
      <c r="AU2" s="35">
        <v>45200</v>
      </c>
      <c r="AV2" s="35">
        <v>45231</v>
      </c>
      <c r="AW2" s="35">
        <v>45261</v>
      </c>
      <c r="AX2" s="35">
        <v>45292</v>
      </c>
      <c r="AY2" s="35">
        <v>45323</v>
      </c>
      <c r="AZ2" s="35">
        <v>45352</v>
      </c>
      <c r="BA2" s="35">
        <v>45383</v>
      </c>
      <c r="BB2" s="35">
        <v>45413</v>
      </c>
      <c r="BC2" s="35">
        <v>45444</v>
      </c>
      <c r="BD2" s="35">
        <v>45474</v>
      </c>
      <c r="BE2" s="35">
        <v>45505</v>
      </c>
      <c r="BF2" s="35">
        <v>45536</v>
      </c>
      <c r="BG2" s="35">
        <v>45566</v>
      </c>
      <c r="BH2" s="35">
        <v>45597</v>
      </c>
      <c r="BI2" s="35">
        <v>45627</v>
      </c>
      <c r="BJ2" s="35">
        <v>45658</v>
      </c>
      <c r="BK2" s="35">
        <v>45689</v>
      </c>
      <c r="BL2" s="35">
        <v>45717</v>
      </c>
      <c r="BM2" s="35">
        <v>45748</v>
      </c>
      <c r="BN2" s="35">
        <v>45778</v>
      </c>
      <c r="BO2" s="35">
        <v>45809</v>
      </c>
      <c r="BP2" s="35">
        <v>45839</v>
      </c>
      <c r="BQ2" s="35">
        <v>45870</v>
      </c>
      <c r="BR2" s="35">
        <v>45901</v>
      </c>
      <c r="BS2" s="35">
        <v>45931</v>
      </c>
      <c r="BT2" s="35"/>
    </row>
    <row r="3" spans="1:72" ht="15" customHeight="1" x14ac:dyDescent="0.3">
      <c r="A3" t="s">
        <v>495</v>
      </c>
      <c r="B3" s="2">
        <v>2058.6080000000002</v>
      </c>
      <c r="D3" s="35">
        <v>44199</v>
      </c>
      <c r="E3" s="2">
        <v>2058.6080000000002</v>
      </c>
      <c r="G3" s="34">
        <v>45396</v>
      </c>
      <c r="H3" s="2">
        <f t="shared" ref="H3:H66" si="0">LOOKUP(G3,D:D,E:E)</f>
        <v>2171.9079999999999</v>
      </c>
      <c r="K3" s="2">
        <f t="shared" ref="K3:AP3" si="1">_xlfn.MAXIFS($E:$E,$D:$D,"&gt;="&amp;K2,$D:$D,"&lt;="&amp;EOMONTH(K2,0))</f>
        <v>0</v>
      </c>
      <c r="L3" s="2">
        <f t="shared" si="1"/>
        <v>0</v>
      </c>
      <c r="M3" s="2">
        <f t="shared" si="1"/>
        <v>0</v>
      </c>
      <c r="N3" s="2">
        <f t="shared" si="1"/>
        <v>2058.6080000000002</v>
      </c>
      <c r="O3" s="2">
        <f t="shared" si="1"/>
        <v>2318.567</v>
      </c>
      <c r="P3" s="2">
        <f t="shared" si="1"/>
        <v>2472.6590000000001</v>
      </c>
      <c r="Q3" s="2">
        <f t="shared" si="1"/>
        <v>2557.1610000000001</v>
      </c>
      <c r="R3" s="2">
        <f t="shared" si="1"/>
        <v>2355.904</v>
      </c>
      <c r="S3" s="2">
        <f t="shared" si="1"/>
        <v>2999.0219999999999</v>
      </c>
      <c r="T3" s="2">
        <f t="shared" si="1"/>
        <v>3035.7440000000001</v>
      </c>
      <c r="U3" s="2">
        <f t="shared" si="1"/>
        <v>2507.0329999999999</v>
      </c>
      <c r="V3" s="2">
        <f t="shared" si="1"/>
        <v>2044.029</v>
      </c>
      <c r="W3" s="2">
        <f t="shared" si="1"/>
        <v>2070.3440000000001</v>
      </c>
      <c r="X3" s="2">
        <f t="shared" si="1"/>
        <v>1869.1389999999999</v>
      </c>
      <c r="Y3" s="2">
        <f t="shared" si="1"/>
        <v>1756.136</v>
      </c>
      <c r="Z3" s="2">
        <f t="shared" si="1"/>
        <v>1771.55</v>
      </c>
      <c r="AA3" s="2">
        <f t="shared" si="1"/>
        <v>1786.809</v>
      </c>
      <c r="AB3" s="2">
        <f t="shared" si="1"/>
        <v>1630.748</v>
      </c>
      <c r="AC3" s="2">
        <f t="shared" si="1"/>
        <v>1884.047</v>
      </c>
      <c r="AD3" s="2">
        <f t="shared" si="1"/>
        <v>2062.8910000000001</v>
      </c>
      <c r="AE3" s="2">
        <f t="shared" si="1"/>
        <v>1781.021</v>
      </c>
      <c r="AF3" s="2">
        <f t="shared" si="1"/>
        <v>1773.7460000000001</v>
      </c>
      <c r="AG3" s="2">
        <f t="shared" si="1"/>
        <v>2026.8119999999999</v>
      </c>
      <c r="AH3" s="2">
        <f t="shared" si="1"/>
        <v>1817.4760000000001</v>
      </c>
      <c r="AI3" s="2">
        <f t="shared" si="1"/>
        <v>1904.23</v>
      </c>
      <c r="AJ3" s="2">
        <f t="shared" si="1"/>
        <v>1619.19</v>
      </c>
      <c r="AK3" s="2">
        <f t="shared" si="1"/>
        <v>1686.2529999999999</v>
      </c>
      <c r="AL3" s="2">
        <f t="shared" si="1"/>
        <v>1869.046</v>
      </c>
      <c r="AM3" s="2">
        <f t="shared" si="1"/>
        <v>1944.067</v>
      </c>
      <c r="AN3" s="2">
        <f t="shared" si="1"/>
        <v>1649.4970000000001</v>
      </c>
      <c r="AO3" s="2">
        <f t="shared" si="1"/>
        <v>1821.4110000000001</v>
      </c>
      <c r="AP3" s="2">
        <f t="shared" si="1"/>
        <v>1453.4860000000001</v>
      </c>
      <c r="AQ3" s="2">
        <f t="shared" ref="AQ3:BS3" si="2">_xlfn.MAXIFS($E:$E,$D:$D,"&gt;="&amp;AQ2,$D:$D,"&lt;="&amp;EOMONTH(AQ2,0))</f>
        <v>1621.171</v>
      </c>
      <c r="AR3" s="2">
        <f t="shared" si="2"/>
        <v>1635.126</v>
      </c>
      <c r="AS3" s="2">
        <f t="shared" si="2"/>
        <v>1702.046</v>
      </c>
      <c r="AT3" s="2">
        <f t="shared" si="2"/>
        <v>1777.479</v>
      </c>
      <c r="AU3" s="2">
        <f t="shared" si="2"/>
        <v>1720.454</v>
      </c>
      <c r="AV3" s="2">
        <f t="shared" si="2"/>
        <v>1505.653</v>
      </c>
      <c r="AW3" s="2">
        <f t="shared" si="2"/>
        <v>1959.4760000000001</v>
      </c>
      <c r="AX3" s="2">
        <f t="shared" si="2"/>
        <v>2120.6550000000002</v>
      </c>
      <c r="AY3" s="2">
        <f t="shared" si="2"/>
        <v>2022.665</v>
      </c>
      <c r="AZ3" s="2">
        <f t="shared" si="2"/>
        <v>2066.5070000000001</v>
      </c>
      <c r="BA3" s="2">
        <f t="shared" si="2"/>
        <v>2171.9079999999999</v>
      </c>
      <c r="BB3" s="2">
        <f t="shared" si="2"/>
        <v>2217.9810000000002</v>
      </c>
      <c r="BC3" s="2">
        <f t="shared" si="2"/>
        <v>2199.2170000000001</v>
      </c>
      <c r="BD3" s="2">
        <f t="shared" si="2"/>
        <v>1902.828</v>
      </c>
      <c r="BE3" s="2">
        <f t="shared" si="2"/>
        <v>1702.809</v>
      </c>
      <c r="BF3" s="2">
        <f t="shared" si="2"/>
        <v>1516.847</v>
      </c>
      <c r="BG3" s="2">
        <f t="shared" si="2"/>
        <v>1616.0650000000001</v>
      </c>
      <c r="BH3" s="2">
        <f t="shared" si="2"/>
        <v>1544.328</v>
      </c>
      <c r="BI3" s="2">
        <f t="shared" si="2"/>
        <v>1741.2329999999999</v>
      </c>
      <c r="BJ3" s="2">
        <f t="shared" si="2"/>
        <v>1685.12</v>
      </c>
      <c r="BK3" s="2">
        <f t="shared" si="2"/>
        <v>1521.047</v>
      </c>
      <c r="BL3" s="2">
        <f t="shared" si="2"/>
        <v>1497.973</v>
      </c>
      <c r="BM3" s="2">
        <f t="shared" si="2"/>
        <v>1510.326</v>
      </c>
      <c r="BN3" s="2">
        <f t="shared" si="2"/>
        <v>1262.672</v>
      </c>
      <c r="BO3" s="2">
        <f t="shared" si="2"/>
        <v>1376.15</v>
      </c>
      <c r="BP3" s="2">
        <f t="shared" si="2"/>
        <v>1281.2760000000001</v>
      </c>
      <c r="BQ3" s="2">
        <f t="shared" si="2"/>
        <v>1471.7439999999999</v>
      </c>
      <c r="BR3" s="2">
        <f t="shared" si="2"/>
        <v>1542.4079999999999</v>
      </c>
      <c r="BS3" s="2">
        <f t="shared" si="2"/>
        <v>1537.2739999999999</v>
      </c>
      <c r="BT3" s="2"/>
    </row>
    <row r="4" spans="1:72" ht="15" customHeight="1" x14ac:dyDescent="0.3">
      <c r="A4" t="s">
        <v>496</v>
      </c>
      <c r="B4" s="2">
        <v>2019.7950000000001</v>
      </c>
      <c r="D4" s="35">
        <f t="shared" ref="D4:D35" si="3">D3+7</f>
        <v>44206</v>
      </c>
      <c r="E4" s="2">
        <v>2019.7950000000001</v>
      </c>
      <c r="G4" s="34">
        <f t="shared" ref="G4:G67" si="4">G3+1</f>
        <v>45397</v>
      </c>
      <c r="H4" s="2">
        <f t="shared" si="0"/>
        <v>2171.9079999999999</v>
      </c>
    </row>
    <row r="5" spans="1:72" ht="15" customHeight="1" x14ac:dyDescent="0.3">
      <c r="A5" t="s">
        <v>497</v>
      </c>
      <c r="B5" s="2">
        <v>1865.97</v>
      </c>
      <c r="D5" s="35">
        <f t="shared" si="3"/>
        <v>44213</v>
      </c>
      <c r="E5" s="2">
        <v>1865.97</v>
      </c>
      <c r="F5" s="41"/>
      <c r="G5" s="34">
        <f t="shared" si="4"/>
        <v>45398</v>
      </c>
      <c r="H5" s="2">
        <f t="shared" si="0"/>
        <v>2171.9079999999999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</row>
    <row r="6" spans="1:72" ht="15" customHeight="1" x14ac:dyDescent="0.3">
      <c r="A6" t="s">
        <v>498</v>
      </c>
      <c r="B6" s="2">
        <v>1797.953</v>
      </c>
      <c r="D6" s="35">
        <f t="shared" si="3"/>
        <v>44220</v>
      </c>
      <c r="E6" s="2">
        <v>1797.953</v>
      </c>
      <c r="G6" s="34">
        <f t="shared" si="4"/>
        <v>45399</v>
      </c>
      <c r="H6" s="2">
        <f t="shared" si="0"/>
        <v>2171.9079999999999</v>
      </c>
    </row>
    <row r="7" spans="1:72" ht="15" customHeight="1" x14ac:dyDescent="0.3">
      <c r="A7" t="s">
        <v>499</v>
      </c>
      <c r="B7" s="2">
        <v>2001.376</v>
      </c>
      <c r="D7" s="35">
        <f t="shared" si="3"/>
        <v>44227</v>
      </c>
      <c r="E7" s="2">
        <v>2001.376</v>
      </c>
      <c r="G7" s="34">
        <f t="shared" si="4"/>
        <v>45400</v>
      </c>
      <c r="H7" s="2">
        <f t="shared" si="0"/>
        <v>2171.9079999999999</v>
      </c>
    </row>
    <row r="8" spans="1:72" ht="15" customHeight="1" x14ac:dyDescent="0.3">
      <c r="A8" t="s">
        <v>500</v>
      </c>
      <c r="B8" s="2">
        <v>2063.7750000000001</v>
      </c>
      <c r="D8" s="35">
        <f t="shared" si="3"/>
        <v>44234</v>
      </c>
      <c r="E8" s="2">
        <v>2063.7750000000001</v>
      </c>
      <c r="G8" s="34">
        <f t="shared" si="4"/>
        <v>45401</v>
      </c>
      <c r="H8" s="2">
        <f t="shared" si="0"/>
        <v>2171.9079999999999</v>
      </c>
    </row>
    <row r="9" spans="1:72" ht="15" customHeight="1" x14ac:dyDescent="0.3">
      <c r="A9" t="s">
        <v>501</v>
      </c>
      <c r="B9" s="2">
        <v>1990.64</v>
      </c>
      <c r="D9" s="35">
        <f t="shared" si="3"/>
        <v>44241</v>
      </c>
      <c r="E9" s="2">
        <v>1990.64</v>
      </c>
      <c r="G9" s="34">
        <f t="shared" si="4"/>
        <v>45402</v>
      </c>
      <c r="H9" s="2">
        <f t="shared" si="0"/>
        <v>2171.9079999999999</v>
      </c>
    </row>
    <row r="10" spans="1:72" ht="15" customHeight="1" x14ac:dyDescent="0.3">
      <c r="A10" t="s">
        <v>502</v>
      </c>
      <c r="B10" s="2">
        <v>2029.7529999999999</v>
      </c>
      <c r="D10" s="35">
        <f t="shared" si="3"/>
        <v>44248</v>
      </c>
      <c r="E10" s="2">
        <v>2029.7529999999999</v>
      </c>
      <c r="G10" s="34">
        <f t="shared" si="4"/>
        <v>45403</v>
      </c>
      <c r="H10" s="2">
        <f t="shared" si="0"/>
        <v>2071.498</v>
      </c>
    </row>
    <row r="11" spans="1:72" ht="15" customHeight="1" x14ac:dyDescent="0.3">
      <c r="A11" t="s">
        <v>503</v>
      </c>
      <c r="B11" s="2">
        <v>2318.567</v>
      </c>
      <c r="D11" s="35">
        <f t="shared" si="3"/>
        <v>44255</v>
      </c>
      <c r="E11" s="2">
        <v>2318.567</v>
      </c>
      <c r="G11" s="34">
        <f t="shared" si="4"/>
        <v>45404</v>
      </c>
      <c r="H11" s="2">
        <f t="shared" si="0"/>
        <v>2071.498</v>
      </c>
    </row>
    <row r="12" spans="1:72" ht="15" customHeight="1" x14ac:dyDescent="0.3">
      <c r="A12" t="s">
        <v>504</v>
      </c>
      <c r="B12" s="2">
        <v>2329.3130000000001</v>
      </c>
      <c r="D12" s="35">
        <f t="shared" si="3"/>
        <v>44262</v>
      </c>
      <c r="E12" s="2">
        <v>2329.3130000000001</v>
      </c>
      <c r="G12" s="34">
        <f t="shared" si="4"/>
        <v>45405</v>
      </c>
      <c r="H12" s="2">
        <f t="shared" si="0"/>
        <v>2071.498</v>
      </c>
    </row>
    <row r="13" spans="1:72" ht="15" customHeight="1" x14ac:dyDescent="0.3">
      <c r="A13" t="s">
        <v>505</v>
      </c>
      <c r="B13" s="2">
        <v>2051.1880000000001</v>
      </c>
      <c r="D13" s="35">
        <f t="shared" si="3"/>
        <v>44269</v>
      </c>
      <c r="E13" s="2">
        <v>2051.1880000000001</v>
      </c>
      <c r="G13" s="34">
        <f t="shared" si="4"/>
        <v>45406</v>
      </c>
      <c r="H13" s="2">
        <f t="shared" si="0"/>
        <v>2071.498</v>
      </c>
    </row>
    <row r="14" spans="1:72" ht="15" customHeight="1" x14ac:dyDescent="0.3">
      <c r="A14" t="s">
        <v>506</v>
      </c>
      <c r="B14" s="2">
        <v>2149.85</v>
      </c>
      <c r="D14" s="35">
        <f t="shared" si="3"/>
        <v>44276</v>
      </c>
      <c r="E14" s="2">
        <v>2149.85</v>
      </c>
      <c r="G14" s="34">
        <f t="shared" si="4"/>
        <v>45407</v>
      </c>
      <c r="H14" s="2">
        <f t="shared" si="0"/>
        <v>2071.498</v>
      </c>
    </row>
    <row r="15" spans="1:72" ht="15" customHeight="1" x14ac:dyDescent="0.3">
      <c r="A15" t="s">
        <v>507</v>
      </c>
      <c r="B15" s="2">
        <v>2472.6590000000001</v>
      </c>
      <c r="D15" s="35">
        <f t="shared" si="3"/>
        <v>44283</v>
      </c>
      <c r="E15" s="2">
        <v>2472.6590000000001</v>
      </c>
      <c r="G15" s="34">
        <f t="shared" si="4"/>
        <v>45408</v>
      </c>
      <c r="H15" s="2">
        <f t="shared" si="0"/>
        <v>2071.498</v>
      </c>
    </row>
    <row r="16" spans="1:72" ht="15" customHeight="1" x14ac:dyDescent="0.3">
      <c r="A16" t="s">
        <v>508</v>
      </c>
      <c r="B16" s="2">
        <v>2557.1610000000001</v>
      </c>
      <c r="D16" s="35">
        <f t="shared" si="3"/>
        <v>44290</v>
      </c>
      <c r="E16" s="2">
        <v>2557.1610000000001</v>
      </c>
      <c r="G16" s="34">
        <f t="shared" si="4"/>
        <v>45409</v>
      </c>
      <c r="H16" s="2">
        <f t="shared" si="0"/>
        <v>2071.498</v>
      </c>
    </row>
    <row r="17" spans="1:8" ht="15" customHeight="1" x14ac:dyDescent="0.3">
      <c r="A17" t="s">
        <v>509</v>
      </c>
      <c r="B17" s="2">
        <v>2079.2710000000002</v>
      </c>
      <c r="D17" s="35">
        <f t="shared" si="3"/>
        <v>44297</v>
      </c>
      <c r="E17" s="2">
        <v>2079.2710000000002</v>
      </c>
      <c r="G17" s="34">
        <f t="shared" si="4"/>
        <v>45410</v>
      </c>
      <c r="H17" s="2">
        <f t="shared" si="0"/>
        <v>2128.3560000000002</v>
      </c>
    </row>
    <row r="18" spans="1:8" ht="15" customHeight="1" x14ac:dyDescent="0.3">
      <c r="A18" t="s">
        <v>510</v>
      </c>
      <c r="B18" s="2">
        <v>2140.7840000000001</v>
      </c>
      <c r="D18" s="35">
        <f t="shared" si="3"/>
        <v>44304</v>
      </c>
      <c r="E18" s="2">
        <v>2140.7840000000001</v>
      </c>
      <c r="G18" s="34">
        <f t="shared" si="4"/>
        <v>45411</v>
      </c>
      <c r="H18" s="2">
        <f t="shared" si="0"/>
        <v>2128.3560000000002</v>
      </c>
    </row>
    <row r="19" spans="1:8" ht="15" customHeight="1" x14ac:dyDescent="0.3">
      <c r="A19" t="s">
        <v>511</v>
      </c>
      <c r="B19" s="2">
        <v>1979.068</v>
      </c>
      <c r="D19" s="35">
        <f t="shared" si="3"/>
        <v>44311</v>
      </c>
      <c r="E19" s="2">
        <v>1979.068</v>
      </c>
      <c r="G19" s="34">
        <f t="shared" si="4"/>
        <v>45412</v>
      </c>
      <c r="H19" s="2">
        <f t="shared" si="0"/>
        <v>2128.3560000000002</v>
      </c>
    </row>
    <row r="20" spans="1:8" ht="15" customHeight="1" x14ac:dyDescent="0.3">
      <c r="A20" t="s">
        <v>512</v>
      </c>
      <c r="B20" s="2">
        <v>2355.904</v>
      </c>
      <c r="D20" s="35">
        <f t="shared" si="3"/>
        <v>44318</v>
      </c>
      <c r="E20" s="2">
        <v>2355.904</v>
      </c>
      <c r="G20" s="34">
        <f t="shared" si="4"/>
        <v>45413</v>
      </c>
      <c r="H20" s="2">
        <f t="shared" si="0"/>
        <v>2128.3560000000002</v>
      </c>
    </row>
    <row r="21" spans="1:8" ht="15" customHeight="1" x14ac:dyDescent="0.3">
      <c r="A21" t="s">
        <v>513</v>
      </c>
      <c r="B21" s="2">
        <v>2212.8589999999999</v>
      </c>
      <c r="D21" s="35">
        <f t="shared" si="3"/>
        <v>44325</v>
      </c>
      <c r="E21" s="2">
        <v>2212.8589999999999</v>
      </c>
      <c r="G21" s="34">
        <f t="shared" si="4"/>
        <v>45414</v>
      </c>
      <c r="H21" s="2">
        <f t="shared" si="0"/>
        <v>2128.3560000000002</v>
      </c>
    </row>
    <row r="22" spans="1:8" ht="15" customHeight="1" x14ac:dyDescent="0.3">
      <c r="A22" t="s">
        <v>514</v>
      </c>
      <c r="B22" s="2">
        <v>2044.971</v>
      </c>
      <c r="D22" s="35">
        <f t="shared" si="3"/>
        <v>44332</v>
      </c>
      <c r="E22" s="2">
        <v>2044.971</v>
      </c>
      <c r="G22" s="34">
        <f t="shared" si="4"/>
        <v>45415</v>
      </c>
      <c r="H22" s="2">
        <f t="shared" si="0"/>
        <v>2128.3560000000002</v>
      </c>
    </row>
    <row r="23" spans="1:8" ht="15" customHeight="1" x14ac:dyDescent="0.3">
      <c r="A23" t="s">
        <v>515</v>
      </c>
      <c r="B23" s="2">
        <v>2138.7840000000001</v>
      </c>
      <c r="D23" s="35">
        <f t="shared" si="3"/>
        <v>44339</v>
      </c>
      <c r="E23" s="2">
        <v>2138.7840000000001</v>
      </c>
      <c r="G23" s="34">
        <f t="shared" si="4"/>
        <v>45416</v>
      </c>
      <c r="H23" s="2">
        <f t="shared" si="0"/>
        <v>2128.3560000000002</v>
      </c>
    </row>
    <row r="24" spans="1:8" ht="15" customHeight="1" x14ac:dyDescent="0.3">
      <c r="A24" t="s">
        <v>516</v>
      </c>
      <c r="B24" s="2">
        <v>2333.94</v>
      </c>
      <c r="D24" s="35">
        <f t="shared" si="3"/>
        <v>44346</v>
      </c>
      <c r="E24" s="2">
        <v>2333.94</v>
      </c>
      <c r="G24" s="34">
        <f t="shared" si="4"/>
        <v>45417</v>
      </c>
      <c r="H24" s="2">
        <f t="shared" si="0"/>
        <v>2108.3200000000002</v>
      </c>
    </row>
    <row r="25" spans="1:8" ht="15" customHeight="1" x14ac:dyDescent="0.3">
      <c r="A25" t="s">
        <v>517</v>
      </c>
      <c r="B25" s="2">
        <v>2387.3870000000002</v>
      </c>
      <c r="D25" s="35">
        <f t="shared" si="3"/>
        <v>44353</v>
      </c>
      <c r="E25" s="2">
        <v>2387.3870000000002</v>
      </c>
      <c r="G25" s="34">
        <f t="shared" si="4"/>
        <v>45418</v>
      </c>
      <c r="H25" s="2">
        <f t="shared" si="0"/>
        <v>2108.3200000000002</v>
      </c>
    </row>
    <row r="26" spans="1:8" ht="15" customHeight="1" x14ac:dyDescent="0.3">
      <c r="A26" t="s">
        <v>518</v>
      </c>
      <c r="B26" s="2">
        <v>2363.9140000000002</v>
      </c>
      <c r="D26" s="35">
        <f t="shared" si="3"/>
        <v>44360</v>
      </c>
      <c r="E26" s="2">
        <v>2363.9140000000002</v>
      </c>
      <c r="G26" s="34">
        <f t="shared" si="4"/>
        <v>45419</v>
      </c>
      <c r="H26" s="2">
        <f t="shared" si="0"/>
        <v>2108.3200000000002</v>
      </c>
    </row>
    <row r="27" spans="1:8" ht="15" customHeight="1" x14ac:dyDescent="0.3">
      <c r="A27" t="s">
        <v>519</v>
      </c>
      <c r="B27" s="2">
        <v>2725.4859999999999</v>
      </c>
      <c r="D27" s="35">
        <f t="shared" si="3"/>
        <v>44367</v>
      </c>
      <c r="E27" s="2">
        <v>2725.4859999999999</v>
      </c>
      <c r="G27" s="34">
        <f t="shared" si="4"/>
        <v>45420</v>
      </c>
      <c r="H27" s="2">
        <f t="shared" si="0"/>
        <v>2108.3200000000002</v>
      </c>
    </row>
    <row r="28" spans="1:8" ht="15" customHeight="1" x14ac:dyDescent="0.3">
      <c r="A28" t="s">
        <v>520</v>
      </c>
      <c r="B28" s="2">
        <v>2999.0219999999999</v>
      </c>
      <c r="D28" s="35">
        <f t="shared" si="3"/>
        <v>44374</v>
      </c>
      <c r="E28" s="2">
        <v>2999.0219999999999</v>
      </c>
      <c r="G28" s="34">
        <f t="shared" si="4"/>
        <v>45421</v>
      </c>
      <c r="H28" s="2">
        <f t="shared" si="0"/>
        <v>2108.3200000000002</v>
      </c>
    </row>
    <row r="29" spans="1:8" ht="15" customHeight="1" x14ac:dyDescent="0.3">
      <c r="A29" t="s">
        <v>521</v>
      </c>
      <c r="B29" s="2">
        <v>3011.866</v>
      </c>
      <c r="D29" s="35">
        <f t="shared" si="3"/>
        <v>44381</v>
      </c>
      <c r="E29" s="2">
        <v>3011.866</v>
      </c>
      <c r="G29" s="34">
        <f t="shared" si="4"/>
        <v>45422</v>
      </c>
      <c r="H29" s="2">
        <f t="shared" si="0"/>
        <v>2108.3200000000002</v>
      </c>
    </row>
    <row r="30" spans="1:8" ht="15" customHeight="1" x14ac:dyDescent="0.3">
      <c r="A30" t="s">
        <v>522</v>
      </c>
      <c r="B30" s="2">
        <v>3035.7440000000001</v>
      </c>
      <c r="D30" s="35">
        <f t="shared" si="3"/>
        <v>44388</v>
      </c>
      <c r="E30" s="2">
        <v>3035.7440000000001</v>
      </c>
      <c r="G30" s="34">
        <f t="shared" si="4"/>
        <v>45423</v>
      </c>
      <c r="H30" s="2">
        <f t="shared" si="0"/>
        <v>2108.3200000000002</v>
      </c>
    </row>
    <row r="31" spans="1:8" ht="15" customHeight="1" x14ac:dyDescent="0.3">
      <c r="A31" t="s">
        <v>523</v>
      </c>
      <c r="B31" s="2">
        <v>2580.8890000000001</v>
      </c>
      <c r="D31" s="35">
        <f t="shared" si="3"/>
        <v>44395</v>
      </c>
      <c r="E31" s="2">
        <v>2580.8890000000001</v>
      </c>
      <c r="G31" s="34">
        <f t="shared" si="4"/>
        <v>45424</v>
      </c>
      <c r="H31" s="2">
        <f t="shared" si="0"/>
        <v>1888.922</v>
      </c>
    </row>
    <row r="32" spans="1:8" ht="15" customHeight="1" x14ac:dyDescent="0.3">
      <c r="A32" t="s">
        <v>524</v>
      </c>
      <c r="B32" s="2">
        <v>2274.9679999999998</v>
      </c>
      <c r="D32" s="35">
        <f t="shared" si="3"/>
        <v>44402</v>
      </c>
      <c r="E32" s="2">
        <v>2274.9679999999998</v>
      </c>
      <c r="G32" s="34">
        <f t="shared" si="4"/>
        <v>45425</v>
      </c>
      <c r="H32" s="2">
        <f t="shared" si="0"/>
        <v>1888.922</v>
      </c>
    </row>
    <row r="33" spans="1:8" ht="15" customHeight="1" x14ac:dyDescent="0.3">
      <c r="A33" t="s">
        <v>525</v>
      </c>
      <c r="B33" s="2">
        <v>1969.37</v>
      </c>
      <c r="D33" s="35">
        <f t="shared" si="3"/>
        <v>44409</v>
      </c>
      <c r="E33" s="2">
        <v>1969.37</v>
      </c>
      <c r="G33" s="34">
        <f t="shared" si="4"/>
        <v>45426</v>
      </c>
      <c r="H33" s="2">
        <f t="shared" si="0"/>
        <v>1888.922</v>
      </c>
    </row>
    <row r="34" spans="1:8" ht="15" customHeight="1" x14ac:dyDescent="0.3">
      <c r="A34" t="s">
        <v>526</v>
      </c>
      <c r="B34" s="2">
        <v>2361.6840000000002</v>
      </c>
      <c r="D34" s="35">
        <f t="shared" si="3"/>
        <v>44416</v>
      </c>
      <c r="E34" s="2">
        <v>2361.6840000000002</v>
      </c>
      <c r="G34" s="34">
        <f t="shared" si="4"/>
        <v>45427</v>
      </c>
      <c r="H34" s="2">
        <f t="shared" si="0"/>
        <v>1888.922</v>
      </c>
    </row>
    <row r="35" spans="1:8" ht="15" customHeight="1" x14ac:dyDescent="0.3">
      <c r="A35" t="s">
        <v>527</v>
      </c>
      <c r="B35" s="2">
        <v>2507.0329999999999</v>
      </c>
      <c r="D35" s="35">
        <f t="shared" si="3"/>
        <v>44423</v>
      </c>
      <c r="E35" s="2">
        <v>2507.0329999999999</v>
      </c>
      <c r="G35" s="34">
        <f t="shared" si="4"/>
        <v>45428</v>
      </c>
      <c r="H35" s="2">
        <f t="shared" si="0"/>
        <v>1888.922</v>
      </c>
    </row>
    <row r="36" spans="1:8" ht="15" customHeight="1" x14ac:dyDescent="0.3">
      <c r="A36" t="s">
        <v>528</v>
      </c>
      <c r="B36" s="2">
        <v>2160.1889999999999</v>
      </c>
      <c r="D36" s="35">
        <f t="shared" ref="D36:D67" si="5">D35+7</f>
        <v>44430</v>
      </c>
      <c r="E36" s="2">
        <v>2160.1889999999999</v>
      </c>
      <c r="G36" s="34">
        <f t="shared" si="4"/>
        <v>45429</v>
      </c>
      <c r="H36" s="2">
        <f t="shared" si="0"/>
        <v>1888.922</v>
      </c>
    </row>
    <row r="37" spans="1:8" ht="15" customHeight="1" x14ac:dyDescent="0.3">
      <c r="A37" t="s">
        <v>529</v>
      </c>
      <c r="B37" s="2">
        <v>1933.3320000000001</v>
      </c>
      <c r="D37" s="35">
        <f t="shared" si="5"/>
        <v>44437</v>
      </c>
      <c r="E37" s="2">
        <v>1933.3320000000001</v>
      </c>
      <c r="G37" s="34">
        <f t="shared" si="4"/>
        <v>45430</v>
      </c>
      <c r="H37" s="2">
        <f t="shared" si="0"/>
        <v>1888.922</v>
      </c>
    </row>
    <row r="38" spans="1:8" ht="15" customHeight="1" x14ac:dyDescent="0.3">
      <c r="A38" t="s">
        <v>530</v>
      </c>
      <c r="B38" s="2">
        <v>2044.029</v>
      </c>
      <c r="D38" s="35">
        <f t="shared" si="5"/>
        <v>44444</v>
      </c>
      <c r="E38" s="2">
        <v>2044.029</v>
      </c>
      <c r="G38" s="34">
        <f t="shared" si="4"/>
        <v>45431</v>
      </c>
      <c r="H38" s="2">
        <f t="shared" si="0"/>
        <v>2217.9810000000002</v>
      </c>
    </row>
    <row r="39" spans="1:8" ht="15" customHeight="1" x14ac:dyDescent="0.3">
      <c r="A39" t="s">
        <v>531</v>
      </c>
      <c r="B39" s="2">
        <v>1913.518</v>
      </c>
      <c r="D39" s="35">
        <f t="shared" si="5"/>
        <v>44451</v>
      </c>
      <c r="E39" s="2">
        <v>1913.518</v>
      </c>
      <c r="G39" s="34">
        <f t="shared" si="4"/>
        <v>45432</v>
      </c>
      <c r="H39" s="2">
        <f t="shared" si="0"/>
        <v>2217.9810000000002</v>
      </c>
    </row>
    <row r="40" spans="1:8" ht="15" customHeight="1" x14ac:dyDescent="0.3">
      <c r="A40" t="s">
        <v>532</v>
      </c>
      <c r="B40" s="2">
        <v>1750.4870000000001</v>
      </c>
      <c r="D40" s="35">
        <f t="shared" si="5"/>
        <v>44458</v>
      </c>
      <c r="E40" s="2">
        <v>1750.4870000000001</v>
      </c>
      <c r="G40" s="34">
        <f t="shared" si="4"/>
        <v>45433</v>
      </c>
      <c r="H40" s="2">
        <f t="shared" si="0"/>
        <v>2217.9810000000002</v>
      </c>
    </row>
    <row r="41" spans="1:8" ht="15" customHeight="1" x14ac:dyDescent="0.3">
      <c r="A41" t="s">
        <v>533</v>
      </c>
      <c r="B41" s="2">
        <v>1921.741</v>
      </c>
      <c r="D41" s="35">
        <f t="shared" si="5"/>
        <v>44465</v>
      </c>
      <c r="E41" s="2">
        <v>1921.741</v>
      </c>
      <c r="G41" s="34">
        <f t="shared" si="4"/>
        <v>45434</v>
      </c>
      <c r="H41" s="2">
        <f t="shared" si="0"/>
        <v>2217.9810000000002</v>
      </c>
    </row>
    <row r="42" spans="1:8" ht="15" customHeight="1" x14ac:dyDescent="0.3">
      <c r="A42" t="s">
        <v>534</v>
      </c>
      <c r="B42" s="2">
        <v>1946.75</v>
      </c>
      <c r="D42" s="35">
        <f t="shared" si="5"/>
        <v>44472</v>
      </c>
      <c r="E42" s="2">
        <v>1946.75</v>
      </c>
      <c r="G42" s="34">
        <f t="shared" si="4"/>
        <v>45435</v>
      </c>
      <c r="H42" s="2">
        <f t="shared" si="0"/>
        <v>2217.9810000000002</v>
      </c>
    </row>
    <row r="43" spans="1:8" ht="15" customHeight="1" x14ac:dyDescent="0.3">
      <c r="A43" t="s">
        <v>535</v>
      </c>
      <c r="B43" s="2">
        <v>2070.3440000000001</v>
      </c>
      <c r="D43" s="35">
        <f t="shared" si="5"/>
        <v>44479</v>
      </c>
      <c r="E43" s="2">
        <v>2070.3440000000001</v>
      </c>
      <c r="G43" s="34">
        <f t="shared" si="4"/>
        <v>45436</v>
      </c>
      <c r="H43" s="2">
        <f t="shared" si="0"/>
        <v>2217.9810000000002</v>
      </c>
    </row>
    <row r="44" spans="1:8" ht="15" customHeight="1" x14ac:dyDescent="0.3">
      <c r="A44" t="s">
        <v>536</v>
      </c>
      <c r="B44" s="2">
        <v>1681.145</v>
      </c>
      <c r="D44" s="35">
        <f t="shared" si="5"/>
        <v>44486</v>
      </c>
      <c r="E44" s="2">
        <v>1681.145</v>
      </c>
      <c r="G44" s="34">
        <f t="shared" si="4"/>
        <v>45437</v>
      </c>
      <c r="H44" s="2">
        <f t="shared" si="0"/>
        <v>2217.9810000000002</v>
      </c>
    </row>
    <row r="45" spans="1:8" ht="15" customHeight="1" x14ac:dyDescent="0.3">
      <c r="A45" t="s">
        <v>537</v>
      </c>
      <c r="B45" s="2">
        <v>1473.5650000000001</v>
      </c>
      <c r="D45" s="35">
        <f t="shared" si="5"/>
        <v>44493</v>
      </c>
      <c r="E45" s="2">
        <v>1473.5650000000001</v>
      </c>
      <c r="G45" s="34">
        <f t="shared" si="4"/>
        <v>45438</v>
      </c>
      <c r="H45" s="2">
        <f t="shared" si="0"/>
        <v>2091.029</v>
      </c>
    </row>
    <row r="46" spans="1:8" ht="15" customHeight="1" x14ac:dyDescent="0.3">
      <c r="A46" t="s">
        <v>538</v>
      </c>
      <c r="B46" s="2">
        <v>1617.421</v>
      </c>
      <c r="D46" s="35">
        <f t="shared" si="5"/>
        <v>44500</v>
      </c>
      <c r="E46" s="2">
        <v>1617.421</v>
      </c>
      <c r="G46" s="34">
        <f t="shared" si="4"/>
        <v>45439</v>
      </c>
      <c r="H46" s="2">
        <f t="shared" si="0"/>
        <v>2091.029</v>
      </c>
    </row>
    <row r="47" spans="1:8" ht="15" customHeight="1" x14ac:dyDescent="0.3">
      <c r="A47" t="s">
        <v>539</v>
      </c>
      <c r="B47" s="2">
        <v>1785.518</v>
      </c>
      <c r="D47" s="35">
        <f t="shared" si="5"/>
        <v>44507</v>
      </c>
      <c r="E47" s="2">
        <v>1785.518</v>
      </c>
      <c r="G47" s="34">
        <f t="shared" si="4"/>
        <v>45440</v>
      </c>
      <c r="H47" s="2">
        <f t="shared" si="0"/>
        <v>2091.029</v>
      </c>
    </row>
    <row r="48" spans="1:8" ht="15" customHeight="1" x14ac:dyDescent="0.3">
      <c r="A48" t="s">
        <v>540</v>
      </c>
      <c r="B48" s="2">
        <v>1869.1389999999999</v>
      </c>
      <c r="D48" s="35">
        <f t="shared" si="5"/>
        <v>44514</v>
      </c>
      <c r="E48" s="2">
        <v>1869.1389999999999</v>
      </c>
      <c r="G48" s="34">
        <f t="shared" si="4"/>
        <v>45441</v>
      </c>
      <c r="H48" s="2">
        <f t="shared" si="0"/>
        <v>2091.029</v>
      </c>
    </row>
    <row r="49" spans="1:8" ht="15" customHeight="1" x14ac:dyDescent="0.3">
      <c r="A49" t="s">
        <v>541</v>
      </c>
      <c r="B49" s="2">
        <v>1787.2439999999999</v>
      </c>
      <c r="D49" s="35">
        <f t="shared" si="5"/>
        <v>44521</v>
      </c>
      <c r="E49" s="2">
        <v>1787.2439999999999</v>
      </c>
      <c r="G49" s="34">
        <f t="shared" si="4"/>
        <v>45442</v>
      </c>
      <c r="H49" s="2">
        <f t="shared" si="0"/>
        <v>2091.029</v>
      </c>
    </row>
    <row r="50" spans="1:8" ht="15" customHeight="1" x14ac:dyDescent="0.3">
      <c r="A50" t="s">
        <v>542</v>
      </c>
      <c r="B50" s="2">
        <v>1846.77</v>
      </c>
      <c r="D50" s="35">
        <f t="shared" si="5"/>
        <v>44528</v>
      </c>
      <c r="E50" s="2">
        <v>1846.77</v>
      </c>
      <c r="G50" s="34">
        <f t="shared" si="4"/>
        <v>45443</v>
      </c>
      <c r="H50" s="2">
        <f t="shared" si="0"/>
        <v>2091.029</v>
      </c>
    </row>
    <row r="51" spans="1:8" ht="15" customHeight="1" x14ac:dyDescent="0.3">
      <c r="A51" t="s">
        <v>543</v>
      </c>
      <c r="B51" s="2">
        <v>1756.136</v>
      </c>
      <c r="D51" s="35">
        <f t="shared" si="5"/>
        <v>44535</v>
      </c>
      <c r="E51" s="2">
        <v>1756.136</v>
      </c>
      <c r="G51" s="34">
        <f t="shared" si="4"/>
        <v>45444</v>
      </c>
      <c r="H51" s="2">
        <f t="shared" si="0"/>
        <v>2091.029</v>
      </c>
    </row>
    <row r="52" spans="1:8" ht="15" customHeight="1" x14ac:dyDescent="0.3">
      <c r="A52" t="s">
        <v>544</v>
      </c>
      <c r="B52" s="2">
        <v>1576.8710000000001</v>
      </c>
      <c r="D52" s="35">
        <f t="shared" si="5"/>
        <v>44542</v>
      </c>
      <c r="E52" s="2">
        <v>1576.8710000000001</v>
      </c>
      <c r="G52" s="34">
        <f t="shared" si="4"/>
        <v>45445</v>
      </c>
      <c r="H52" s="2">
        <f t="shared" si="0"/>
        <v>2199.2170000000001</v>
      </c>
    </row>
    <row r="53" spans="1:8" ht="15" customHeight="1" x14ac:dyDescent="0.3">
      <c r="A53" t="s">
        <v>545</v>
      </c>
      <c r="B53" s="2">
        <v>1709.93</v>
      </c>
      <c r="D53" s="35">
        <f t="shared" si="5"/>
        <v>44549</v>
      </c>
      <c r="E53" s="2">
        <v>1709.93</v>
      </c>
      <c r="G53" s="34">
        <f t="shared" si="4"/>
        <v>45446</v>
      </c>
      <c r="H53" s="2">
        <f t="shared" si="0"/>
        <v>2199.2170000000001</v>
      </c>
    </row>
    <row r="54" spans="1:8" ht="15" customHeight="1" x14ac:dyDescent="0.3">
      <c r="A54" t="s">
        <v>546</v>
      </c>
      <c r="B54" s="2">
        <v>1580.885</v>
      </c>
      <c r="D54" s="35">
        <f t="shared" si="5"/>
        <v>44556</v>
      </c>
      <c r="E54" s="2">
        <v>1580.885</v>
      </c>
      <c r="G54" s="34">
        <f t="shared" si="4"/>
        <v>45447</v>
      </c>
      <c r="H54" s="2">
        <f t="shared" si="0"/>
        <v>2199.2170000000001</v>
      </c>
    </row>
    <row r="55" spans="1:8" ht="15" customHeight="1" x14ac:dyDescent="0.3">
      <c r="A55" t="s">
        <v>547</v>
      </c>
      <c r="B55" s="2">
        <v>1722.4580000000001</v>
      </c>
      <c r="D55" s="35">
        <f t="shared" si="5"/>
        <v>44563</v>
      </c>
      <c r="E55" s="2">
        <v>1722.4580000000001</v>
      </c>
      <c r="G55" s="34">
        <f t="shared" si="4"/>
        <v>45448</v>
      </c>
      <c r="H55" s="2">
        <f t="shared" si="0"/>
        <v>2199.2170000000001</v>
      </c>
    </row>
    <row r="56" spans="1:8" ht="15" customHeight="1" x14ac:dyDescent="0.3">
      <c r="A56" t="s">
        <v>548</v>
      </c>
      <c r="B56" s="2">
        <v>1623.4059999999999</v>
      </c>
      <c r="D56" s="35">
        <f t="shared" si="5"/>
        <v>44570</v>
      </c>
      <c r="E56" s="2">
        <v>1623.4059999999999</v>
      </c>
      <c r="G56" s="34">
        <f t="shared" si="4"/>
        <v>45449</v>
      </c>
      <c r="H56" s="2">
        <f t="shared" si="0"/>
        <v>2199.2170000000001</v>
      </c>
    </row>
    <row r="57" spans="1:8" ht="15" customHeight="1" x14ac:dyDescent="0.3">
      <c r="A57" t="s">
        <v>549</v>
      </c>
      <c r="B57" s="2">
        <v>1710.5519999999999</v>
      </c>
      <c r="D57" s="35">
        <f t="shared" si="5"/>
        <v>44577</v>
      </c>
      <c r="E57" s="2">
        <v>1710.5519999999999</v>
      </c>
      <c r="G57" s="34">
        <f t="shared" si="4"/>
        <v>45450</v>
      </c>
      <c r="H57" s="2">
        <f t="shared" si="0"/>
        <v>2199.2170000000001</v>
      </c>
    </row>
    <row r="58" spans="1:8" ht="15" customHeight="1" x14ac:dyDescent="0.3">
      <c r="A58" t="s">
        <v>550</v>
      </c>
      <c r="B58" s="2">
        <v>1744.21</v>
      </c>
      <c r="D58" s="35">
        <f t="shared" si="5"/>
        <v>44584</v>
      </c>
      <c r="E58" s="2">
        <v>1744.21</v>
      </c>
      <c r="G58" s="34">
        <f t="shared" si="4"/>
        <v>45451</v>
      </c>
      <c r="H58" s="2">
        <f t="shared" si="0"/>
        <v>2199.2170000000001</v>
      </c>
    </row>
    <row r="59" spans="1:8" ht="15" customHeight="1" x14ac:dyDescent="0.3">
      <c r="A59" t="s">
        <v>551</v>
      </c>
      <c r="B59" s="2">
        <v>1771.55</v>
      </c>
      <c r="D59" s="35">
        <f t="shared" si="5"/>
        <v>44591</v>
      </c>
      <c r="E59" s="2">
        <v>1771.55</v>
      </c>
      <c r="G59" s="34">
        <f t="shared" si="4"/>
        <v>45452</v>
      </c>
      <c r="H59" s="2">
        <f t="shared" si="0"/>
        <v>2083.8319999999999</v>
      </c>
    </row>
    <row r="60" spans="1:8" ht="15" customHeight="1" x14ac:dyDescent="0.3">
      <c r="A60" t="s">
        <v>552</v>
      </c>
      <c r="B60" s="2">
        <v>1568.2819999999999</v>
      </c>
      <c r="D60" s="35">
        <f t="shared" si="5"/>
        <v>44598</v>
      </c>
      <c r="E60" s="2">
        <v>1568.2819999999999</v>
      </c>
      <c r="G60" s="34">
        <f t="shared" si="4"/>
        <v>45453</v>
      </c>
      <c r="H60" s="2">
        <f t="shared" si="0"/>
        <v>2083.8319999999999</v>
      </c>
    </row>
    <row r="61" spans="1:8" ht="15" customHeight="1" x14ac:dyDescent="0.3">
      <c r="A61" t="s">
        <v>553</v>
      </c>
      <c r="B61" s="2">
        <v>1218.662</v>
      </c>
      <c r="D61" s="35">
        <f t="shared" si="5"/>
        <v>44605</v>
      </c>
      <c r="E61" s="2">
        <v>1218.662</v>
      </c>
      <c r="G61" s="34">
        <f t="shared" si="4"/>
        <v>45454</v>
      </c>
      <c r="H61" s="2">
        <f t="shared" si="0"/>
        <v>2083.8319999999999</v>
      </c>
    </row>
    <row r="62" spans="1:8" ht="15" customHeight="1" x14ac:dyDescent="0.3">
      <c r="A62" t="s">
        <v>554</v>
      </c>
      <c r="B62" s="2">
        <v>1481.059</v>
      </c>
      <c r="D62" s="35">
        <f t="shared" si="5"/>
        <v>44612</v>
      </c>
      <c r="E62" s="2">
        <v>1481.059</v>
      </c>
      <c r="G62" s="34">
        <f t="shared" si="4"/>
        <v>45455</v>
      </c>
      <c r="H62" s="2">
        <f t="shared" si="0"/>
        <v>2083.8319999999999</v>
      </c>
    </row>
    <row r="63" spans="1:8" ht="15" customHeight="1" x14ac:dyDescent="0.3">
      <c r="A63" t="s">
        <v>555</v>
      </c>
      <c r="B63" s="2">
        <v>1786.809</v>
      </c>
      <c r="D63" s="35">
        <f t="shared" si="5"/>
        <v>44619</v>
      </c>
      <c r="E63" s="2">
        <v>1786.809</v>
      </c>
      <c r="G63" s="34">
        <f t="shared" si="4"/>
        <v>45456</v>
      </c>
      <c r="H63" s="2">
        <f t="shared" si="0"/>
        <v>2083.8319999999999</v>
      </c>
    </row>
    <row r="64" spans="1:8" ht="15" customHeight="1" x14ac:dyDescent="0.3">
      <c r="A64" t="s">
        <v>556</v>
      </c>
      <c r="B64" s="2">
        <v>1630.748</v>
      </c>
      <c r="D64" s="35">
        <f t="shared" si="5"/>
        <v>44626</v>
      </c>
      <c r="E64" s="2">
        <v>1630.748</v>
      </c>
      <c r="G64" s="34">
        <f t="shared" si="4"/>
        <v>45457</v>
      </c>
      <c r="H64" s="2">
        <f t="shared" si="0"/>
        <v>2083.8319999999999</v>
      </c>
    </row>
    <row r="65" spans="1:8" ht="15" customHeight="1" x14ac:dyDescent="0.3">
      <c r="A65" t="s">
        <v>557</v>
      </c>
      <c r="B65" s="2">
        <v>1529.6</v>
      </c>
      <c r="D65" s="35">
        <f t="shared" si="5"/>
        <v>44633</v>
      </c>
      <c r="E65" s="2">
        <v>1529.6</v>
      </c>
      <c r="G65" s="34">
        <f t="shared" si="4"/>
        <v>45458</v>
      </c>
      <c r="H65" s="2">
        <f t="shared" si="0"/>
        <v>2083.8319999999999</v>
      </c>
    </row>
    <row r="66" spans="1:8" ht="15" customHeight="1" x14ac:dyDescent="0.3">
      <c r="A66" t="s">
        <v>558</v>
      </c>
      <c r="B66" s="2">
        <v>1227.377</v>
      </c>
      <c r="D66" s="35">
        <f t="shared" si="5"/>
        <v>44640</v>
      </c>
      <c r="E66" s="2">
        <v>1227.377</v>
      </c>
      <c r="G66" s="34">
        <f t="shared" si="4"/>
        <v>45459</v>
      </c>
      <c r="H66" s="2">
        <f t="shared" si="0"/>
        <v>2083.1999999999998</v>
      </c>
    </row>
    <row r="67" spans="1:8" ht="15" customHeight="1" x14ac:dyDescent="0.3">
      <c r="A67" t="s">
        <v>559</v>
      </c>
      <c r="B67" s="2">
        <v>1266.42</v>
      </c>
      <c r="D67" s="35">
        <f t="shared" si="5"/>
        <v>44647</v>
      </c>
      <c r="E67" s="2">
        <v>1266.42</v>
      </c>
      <c r="G67" s="34">
        <f t="shared" si="4"/>
        <v>45460</v>
      </c>
      <c r="H67" s="2">
        <f t="shared" ref="H67:H130" si="6">LOOKUP(G67,D:D,E:E)</f>
        <v>2083.1999999999998</v>
      </c>
    </row>
    <row r="68" spans="1:8" ht="15" customHeight="1" x14ac:dyDescent="0.3">
      <c r="A68" t="s">
        <v>560</v>
      </c>
      <c r="B68" s="2">
        <v>1254.8779999999999</v>
      </c>
      <c r="D68" s="35">
        <f t="shared" ref="D68:D99" si="7">D67+7</f>
        <v>44654</v>
      </c>
      <c r="E68" s="2">
        <v>1254.8779999999999</v>
      </c>
      <c r="G68" s="34">
        <f t="shared" ref="G68:G131" si="8">G67+1</f>
        <v>45461</v>
      </c>
      <c r="H68" s="2">
        <f t="shared" si="6"/>
        <v>2083.1999999999998</v>
      </c>
    </row>
    <row r="69" spans="1:8" ht="15" customHeight="1" x14ac:dyDescent="0.3">
      <c r="A69" t="s">
        <v>561</v>
      </c>
      <c r="B69" s="2">
        <v>1478.1579999999999</v>
      </c>
      <c r="D69" s="35">
        <f t="shared" si="7"/>
        <v>44661</v>
      </c>
      <c r="E69" s="2">
        <v>1478.1579999999999</v>
      </c>
      <c r="G69" s="34">
        <f t="shared" si="8"/>
        <v>45462</v>
      </c>
      <c r="H69" s="2">
        <f t="shared" si="6"/>
        <v>2083.1999999999998</v>
      </c>
    </row>
    <row r="70" spans="1:8" ht="15" customHeight="1" x14ac:dyDescent="0.3">
      <c r="A70" t="s">
        <v>562</v>
      </c>
      <c r="B70" s="2">
        <v>1513.569</v>
      </c>
      <c r="D70" s="35">
        <f t="shared" si="7"/>
        <v>44668</v>
      </c>
      <c r="E70" s="2">
        <v>1513.569</v>
      </c>
      <c r="G70" s="34">
        <f t="shared" si="8"/>
        <v>45463</v>
      </c>
      <c r="H70" s="2">
        <f t="shared" si="6"/>
        <v>2083.1999999999998</v>
      </c>
    </row>
    <row r="71" spans="1:8" ht="15" customHeight="1" x14ac:dyDescent="0.3">
      <c r="A71" t="s">
        <v>563</v>
      </c>
      <c r="B71" s="2">
        <v>1884.047</v>
      </c>
      <c r="D71" s="35">
        <f t="shared" si="7"/>
        <v>44675</v>
      </c>
      <c r="E71" s="2">
        <v>1884.047</v>
      </c>
      <c r="G71" s="34">
        <f t="shared" si="8"/>
        <v>45464</v>
      </c>
      <c r="H71" s="2">
        <f t="shared" si="6"/>
        <v>2083.1999999999998</v>
      </c>
    </row>
    <row r="72" spans="1:8" ht="15" customHeight="1" x14ac:dyDescent="0.3">
      <c r="A72" t="s">
        <v>564</v>
      </c>
      <c r="B72" s="2">
        <v>2062.8910000000001</v>
      </c>
      <c r="D72" s="35">
        <f t="shared" si="7"/>
        <v>44682</v>
      </c>
      <c r="E72" s="2">
        <v>2062.8910000000001</v>
      </c>
      <c r="G72" s="34">
        <f t="shared" si="8"/>
        <v>45465</v>
      </c>
      <c r="H72" s="2">
        <f t="shared" si="6"/>
        <v>2083.1999999999998</v>
      </c>
    </row>
    <row r="73" spans="1:8" ht="15" customHeight="1" x14ac:dyDescent="0.3">
      <c r="A73" t="s">
        <v>565</v>
      </c>
      <c r="B73" s="2">
        <v>1887.5889999999999</v>
      </c>
      <c r="D73" s="35">
        <f t="shared" si="7"/>
        <v>44689</v>
      </c>
      <c r="E73" s="2">
        <v>1887.5889999999999</v>
      </c>
      <c r="G73" s="34">
        <f t="shared" si="8"/>
        <v>45466</v>
      </c>
      <c r="H73" s="2">
        <f t="shared" si="6"/>
        <v>2021.424</v>
      </c>
    </row>
    <row r="74" spans="1:8" ht="15" customHeight="1" x14ac:dyDescent="0.3">
      <c r="A74" t="s">
        <v>566</v>
      </c>
      <c r="B74" s="2">
        <v>1779.104</v>
      </c>
      <c r="D74" s="35">
        <f t="shared" si="7"/>
        <v>44696</v>
      </c>
      <c r="E74" s="2">
        <v>1779.104</v>
      </c>
      <c r="G74" s="34">
        <f t="shared" si="8"/>
        <v>45467</v>
      </c>
      <c r="H74" s="2">
        <f t="shared" si="6"/>
        <v>2021.424</v>
      </c>
    </row>
    <row r="75" spans="1:8" ht="15" customHeight="1" x14ac:dyDescent="0.3">
      <c r="A75" t="s">
        <v>567</v>
      </c>
      <c r="B75" s="2">
        <v>1670.4</v>
      </c>
      <c r="D75" s="35">
        <f t="shared" si="7"/>
        <v>44703</v>
      </c>
      <c r="E75" s="2">
        <v>1670.4</v>
      </c>
      <c r="G75" s="34">
        <f t="shared" si="8"/>
        <v>45468</v>
      </c>
      <c r="H75" s="2">
        <f t="shared" si="6"/>
        <v>2021.424</v>
      </c>
    </row>
    <row r="76" spans="1:8" ht="15" customHeight="1" x14ac:dyDescent="0.3">
      <c r="A76" t="s">
        <v>568</v>
      </c>
      <c r="B76" s="2">
        <v>1720.1420000000001</v>
      </c>
      <c r="D76" s="35">
        <f t="shared" si="7"/>
        <v>44710</v>
      </c>
      <c r="E76" s="2">
        <v>1720.1420000000001</v>
      </c>
      <c r="G76" s="34">
        <f t="shared" si="8"/>
        <v>45469</v>
      </c>
      <c r="H76" s="2">
        <f t="shared" si="6"/>
        <v>2021.424</v>
      </c>
    </row>
    <row r="77" spans="1:8" ht="15" customHeight="1" x14ac:dyDescent="0.3">
      <c r="A77" t="s">
        <v>569</v>
      </c>
      <c r="B77" s="2">
        <v>1781.021</v>
      </c>
      <c r="D77" s="35">
        <f t="shared" si="7"/>
        <v>44717</v>
      </c>
      <c r="E77" s="2">
        <v>1781.021</v>
      </c>
      <c r="G77" s="34">
        <f t="shared" si="8"/>
        <v>45470</v>
      </c>
      <c r="H77" s="2">
        <f t="shared" si="6"/>
        <v>2021.424</v>
      </c>
    </row>
    <row r="78" spans="1:8" ht="15" customHeight="1" x14ac:dyDescent="0.3">
      <c r="A78" t="s">
        <v>570</v>
      </c>
      <c r="B78" s="2">
        <v>1718.402</v>
      </c>
      <c r="D78" s="35">
        <f t="shared" si="7"/>
        <v>44724</v>
      </c>
      <c r="E78" s="2">
        <v>1718.402</v>
      </c>
      <c r="G78" s="34">
        <f t="shared" si="8"/>
        <v>45471</v>
      </c>
      <c r="H78" s="2">
        <f t="shared" si="6"/>
        <v>2021.424</v>
      </c>
    </row>
    <row r="79" spans="1:8" ht="15" customHeight="1" x14ac:dyDescent="0.3">
      <c r="A79" t="s">
        <v>571</v>
      </c>
      <c r="B79" s="2">
        <v>1560.4459999999999</v>
      </c>
      <c r="D79" s="35">
        <f t="shared" si="7"/>
        <v>44731</v>
      </c>
      <c r="E79" s="2">
        <v>1560.4459999999999</v>
      </c>
      <c r="G79" s="34">
        <f t="shared" si="8"/>
        <v>45472</v>
      </c>
      <c r="H79" s="2">
        <f t="shared" si="6"/>
        <v>2021.424</v>
      </c>
    </row>
    <row r="80" spans="1:8" ht="15" customHeight="1" x14ac:dyDescent="0.3">
      <c r="A80" t="s">
        <v>572</v>
      </c>
      <c r="B80" s="2">
        <v>1430.4829999999999</v>
      </c>
      <c r="D80" s="35">
        <f t="shared" si="7"/>
        <v>44738</v>
      </c>
      <c r="E80" s="2">
        <v>1430.4829999999999</v>
      </c>
      <c r="G80" s="34">
        <f t="shared" si="8"/>
        <v>45473</v>
      </c>
      <c r="H80" s="2">
        <f t="shared" si="6"/>
        <v>1996.259</v>
      </c>
    </row>
    <row r="81" spans="1:8" ht="15" customHeight="1" x14ac:dyDescent="0.3">
      <c r="A81" t="s">
        <v>573</v>
      </c>
      <c r="B81" s="2">
        <v>1447.1320000000001</v>
      </c>
      <c r="D81" s="35">
        <f t="shared" si="7"/>
        <v>44745</v>
      </c>
      <c r="E81" s="2">
        <v>1447.1320000000001</v>
      </c>
      <c r="G81" s="34">
        <f t="shared" si="8"/>
        <v>45474</v>
      </c>
      <c r="H81" s="2">
        <f t="shared" si="6"/>
        <v>1996.259</v>
      </c>
    </row>
    <row r="82" spans="1:8" ht="15" customHeight="1" x14ac:dyDescent="0.3">
      <c r="A82" t="s">
        <v>574</v>
      </c>
      <c r="B82" s="2">
        <v>1582.222</v>
      </c>
      <c r="D82" s="35">
        <f t="shared" si="7"/>
        <v>44752</v>
      </c>
      <c r="E82" s="2">
        <v>1582.222</v>
      </c>
      <c r="G82" s="34">
        <f t="shared" si="8"/>
        <v>45475</v>
      </c>
      <c r="H82" s="2">
        <f t="shared" si="6"/>
        <v>1996.259</v>
      </c>
    </row>
    <row r="83" spans="1:8" ht="15" customHeight="1" x14ac:dyDescent="0.3">
      <c r="A83" t="s">
        <v>575</v>
      </c>
      <c r="B83" s="2">
        <v>1480.028</v>
      </c>
      <c r="D83" s="35">
        <f t="shared" si="7"/>
        <v>44759</v>
      </c>
      <c r="E83" s="2">
        <v>1480.028</v>
      </c>
      <c r="G83" s="34">
        <f t="shared" si="8"/>
        <v>45476</v>
      </c>
      <c r="H83" s="2">
        <f t="shared" si="6"/>
        <v>1996.259</v>
      </c>
    </row>
    <row r="84" spans="1:8" ht="15" customHeight="1" x14ac:dyDescent="0.3">
      <c r="A84" t="s">
        <v>576</v>
      </c>
      <c r="B84" s="2">
        <v>1522.5419999999999</v>
      </c>
      <c r="D84" s="35">
        <f t="shared" si="7"/>
        <v>44766</v>
      </c>
      <c r="E84" s="2">
        <v>1522.5419999999999</v>
      </c>
      <c r="G84" s="34">
        <f t="shared" si="8"/>
        <v>45477</v>
      </c>
      <c r="H84" s="2">
        <f t="shared" si="6"/>
        <v>1996.259</v>
      </c>
    </row>
    <row r="85" spans="1:8" ht="15" customHeight="1" x14ac:dyDescent="0.3">
      <c r="A85" t="s">
        <v>577</v>
      </c>
      <c r="B85" s="2">
        <v>1773.7460000000001</v>
      </c>
      <c r="D85" s="35">
        <f t="shared" si="7"/>
        <v>44773</v>
      </c>
      <c r="E85" s="2">
        <v>1773.7460000000001</v>
      </c>
      <c r="G85" s="34">
        <f t="shared" si="8"/>
        <v>45478</v>
      </c>
      <c r="H85" s="2">
        <f t="shared" si="6"/>
        <v>1996.259</v>
      </c>
    </row>
    <row r="86" spans="1:8" ht="15" customHeight="1" x14ac:dyDescent="0.3">
      <c r="A86" t="s">
        <v>578</v>
      </c>
      <c r="B86" s="2">
        <v>1656.366</v>
      </c>
      <c r="D86" s="35">
        <f t="shared" si="7"/>
        <v>44780</v>
      </c>
      <c r="E86" s="2">
        <v>1656.366</v>
      </c>
      <c r="G86" s="34">
        <f t="shared" si="8"/>
        <v>45479</v>
      </c>
      <c r="H86" s="2">
        <f t="shared" si="6"/>
        <v>1996.259</v>
      </c>
    </row>
    <row r="87" spans="1:8" ht="15" customHeight="1" x14ac:dyDescent="0.3">
      <c r="A87" t="s">
        <v>579</v>
      </c>
      <c r="B87" s="2">
        <v>1829.557</v>
      </c>
      <c r="D87" s="35">
        <f t="shared" si="7"/>
        <v>44787</v>
      </c>
      <c r="E87" s="2">
        <v>1829.557</v>
      </c>
      <c r="G87" s="34">
        <f t="shared" si="8"/>
        <v>45480</v>
      </c>
      <c r="H87" s="2">
        <f t="shared" si="6"/>
        <v>1902.828</v>
      </c>
    </row>
    <row r="88" spans="1:8" ht="15" customHeight="1" x14ac:dyDescent="0.3">
      <c r="A88" t="s">
        <v>580</v>
      </c>
      <c r="B88" s="2">
        <v>1890.297</v>
      </c>
      <c r="D88" s="35">
        <f t="shared" si="7"/>
        <v>44794</v>
      </c>
      <c r="E88" s="2">
        <v>1890.297</v>
      </c>
      <c r="G88" s="34">
        <f t="shared" si="8"/>
        <v>45481</v>
      </c>
      <c r="H88" s="2">
        <f t="shared" si="6"/>
        <v>1902.828</v>
      </c>
    </row>
    <row r="89" spans="1:8" ht="15" customHeight="1" x14ac:dyDescent="0.3">
      <c r="A89" t="s">
        <v>581</v>
      </c>
      <c r="B89" s="2">
        <v>2026.8119999999999</v>
      </c>
      <c r="D89" s="35">
        <f t="shared" si="7"/>
        <v>44801</v>
      </c>
      <c r="E89" s="2">
        <v>2026.8119999999999</v>
      </c>
      <c r="G89" s="34">
        <f t="shared" si="8"/>
        <v>45482</v>
      </c>
      <c r="H89" s="2">
        <f t="shared" si="6"/>
        <v>1902.828</v>
      </c>
    </row>
    <row r="90" spans="1:8" ht="15" customHeight="1" x14ac:dyDescent="0.3">
      <c r="A90" t="s">
        <v>582</v>
      </c>
      <c r="B90" s="2">
        <v>1817.4760000000001</v>
      </c>
      <c r="D90" s="35">
        <f t="shared" si="7"/>
        <v>44808</v>
      </c>
      <c r="E90" s="2">
        <v>1817.4760000000001</v>
      </c>
      <c r="G90" s="34">
        <f t="shared" si="8"/>
        <v>45483</v>
      </c>
      <c r="H90" s="2">
        <f t="shared" si="6"/>
        <v>1902.828</v>
      </c>
    </row>
    <row r="91" spans="1:8" ht="15" customHeight="1" x14ac:dyDescent="0.3">
      <c r="A91" t="s">
        <v>583</v>
      </c>
      <c r="B91" s="2">
        <v>1811.2760000000001</v>
      </c>
      <c r="D91" s="35">
        <f t="shared" si="7"/>
        <v>44815</v>
      </c>
      <c r="E91" s="2">
        <v>1811.2760000000001</v>
      </c>
      <c r="G91" s="34">
        <f t="shared" si="8"/>
        <v>45484</v>
      </c>
      <c r="H91" s="2">
        <f t="shared" si="6"/>
        <v>1902.828</v>
      </c>
    </row>
    <row r="92" spans="1:8" ht="15" customHeight="1" x14ac:dyDescent="0.3">
      <c r="A92" t="s">
        <v>584</v>
      </c>
      <c r="B92" s="2">
        <v>1635.7180000000001</v>
      </c>
      <c r="D92" s="35">
        <f t="shared" si="7"/>
        <v>44822</v>
      </c>
      <c r="E92" s="2">
        <v>1635.7180000000001</v>
      </c>
      <c r="G92" s="34">
        <f t="shared" si="8"/>
        <v>45485</v>
      </c>
      <c r="H92" s="2">
        <f t="shared" si="6"/>
        <v>1902.828</v>
      </c>
    </row>
    <row r="93" spans="1:8" ht="15" customHeight="1" x14ac:dyDescent="0.3">
      <c r="A93" t="s">
        <v>585</v>
      </c>
      <c r="B93" s="2">
        <v>1780.2639999999999</v>
      </c>
      <c r="D93" s="35">
        <f t="shared" si="7"/>
        <v>44829</v>
      </c>
      <c r="E93" s="2">
        <v>1780.2639999999999</v>
      </c>
      <c r="G93" s="34">
        <f t="shared" si="8"/>
        <v>45486</v>
      </c>
      <c r="H93" s="2">
        <f t="shared" si="6"/>
        <v>1902.828</v>
      </c>
    </row>
    <row r="94" spans="1:8" ht="15" customHeight="1" x14ac:dyDescent="0.3">
      <c r="A94" t="s">
        <v>586</v>
      </c>
      <c r="B94" s="2">
        <v>1754.0350000000001</v>
      </c>
      <c r="D94" s="35">
        <f t="shared" si="7"/>
        <v>44836</v>
      </c>
      <c r="E94" s="2">
        <v>1754.0350000000001</v>
      </c>
      <c r="G94" s="34">
        <f t="shared" si="8"/>
        <v>45487</v>
      </c>
      <c r="H94" s="2">
        <f t="shared" si="6"/>
        <v>1747.309</v>
      </c>
    </row>
    <row r="95" spans="1:8" ht="15" customHeight="1" x14ac:dyDescent="0.3">
      <c r="A95" t="s">
        <v>587</v>
      </c>
      <c r="B95" s="2">
        <v>1719.422</v>
      </c>
      <c r="D95" s="35">
        <f t="shared" si="7"/>
        <v>44843</v>
      </c>
      <c r="E95" s="2">
        <v>1719.422</v>
      </c>
      <c r="G95" s="34">
        <f t="shared" si="8"/>
        <v>45488</v>
      </c>
      <c r="H95" s="2">
        <f t="shared" si="6"/>
        <v>1747.309</v>
      </c>
    </row>
    <row r="96" spans="1:8" ht="15" customHeight="1" x14ac:dyDescent="0.3">
      <c r="A96" t="s">
        <v>588</v>
      </c>
      <c r="B96" s="2">
        <v>1622.3430000000001</v>
      </c>
      <c r="D96" s="35">
        <f t="shared" si="7"/>
        <v>44850</v>
      </c>
      <c r="E96" s="2">
        <v>1622.3430000000001</v>
      </c>
      <c r="G96" s="34">
        <f t="shared" si="8"/>
        <v>45489</v>
      </c>
      <c r="H96" s="2">
        <f t="shared" si="6"/>
        <v>1747.309</v>
      </c>
    </row>
    <row r="97" spans="1:8" ht="15" customHeight="1" x14ac:dyDescent="0.3">
      <c r="A97" t="s">
        <v>589</v>
      </c>
      <c r="B97" s="2">
        <v>1696.39</v>
      </c>
      <c r="D97" s="35">
        <f t="shared" si="7"/>
        <v>44857</v>
      </c>
      <c r="E97" s="2">
        <v>1696.39</v>
      </c>
      <c r="G97" s="34">
        <f t="shared" si="8"/>
        <v>45490</v>
      </c>
      <c r="H97" s="2">
        <f t="shared" si="6"/>
        <v>1747.309</v>
      </c>
    </row>
    <row r="98" spans="1:8" ht="15" customHeight="1" x14ac:dyDescent="0.3">
      <c r="A98" t="s">
        <v>590</v>
      </c>
      <c r="B98" s="2">
        <v>1904.23</v>
      </c>
      <c r="D98" s="35">
        <f t="shared" si="7"/>
        <v>44864</v>
      </c>
      <c r="E98" s="2">
        <v>1904.23</v>
      </c>
      <c r="G98" s="34">
        <f t="shared" si="8"/>
        <v>45491</v>
      </c>
      <c r="H98" s="2">
        <f t="shared" si="6"/>
        <v>1747.309</v>
      </c>
    </row>
    <row r="99" spans="1:8" ht="15" customHeight="1" x14ac:dyDescent="0.3">
      <c r="A99" t="s">
        <v>591</v>
      </c>
      <c r="B99" s="2">
        <v>1551.22</v>
      </c>
      <c r="D99" s="35">
        <f t="shared" si="7"/>
        <v>44871</v>
      </c>
      <c r="E99" s="2">
        <v>1551.22</v>
      </c>
      <c r="G99" s="34">
        <f t="shared" si="8"/>
        <v>45492</v>
      </c>
      <c r="H99" s="2">
        <f t="shared" si="6"/>
        <v>1747.309</v>
      </c>
    </row>
    <row r="100" spans="1:8" ht="15" customHeight="1" x14ac:dyDescent="0.3">
      <c r="A100" t="s">
        <v>592</v>
      </c>
      <c r="B100" s="2">
        <v>1455.866</v>
      </c>
      <c r="D100" s="35">
        <f t="shared" ref="D100:D163" si="9">D99+7</f>
        <v>44878</v>
      </c>
      <c r="E100" s="2">
        <v>1455.866</v>
      </c>
      <c r="G100" s="34">
        <f t="shared" si="8"/>
        <v>45493</v>
      </c>
      <c r="H100" s="2">
        <f t="shared" si="6"/>
        <v>1747.309</v>
      </c>
    </row>
    <row r="101" spans="1:8" ht="15" customHeight="1" x14ac:dyDescent="0.3">
      <c r="A101" t="s">
        <v>593</v>
      </c>
      <c r="B101" s="2">
        <v>1402.9580000000001</v>
      </c>
      <c r="D101" s="35">
        <f t="shared" si="9"/>
        <v>44885</v>
      </c>
      <c r="E101" s="2">
        <v>1402.9580000000001</v>
      </c>
      <c r="G101" s="34">
        <f t="shared" si="8"/>
        <v>45494</v>
      </c>
      <c r="H101" s="2">
        <f t="shared" si="6"/>
        <v>1747.9280000000001</v>
      </c>
    </row>
    <row r="102" spans="1:8" ht="15" customHeight="1" x14ac:dyDescent="0.3">
      <c r="A102" t="s">
        <v>594</v>
      </c>
      <c r="B102" s="2">
        <v>1619.19</v>
      </c>
      <c r="D102" s="35">
        <f t="shared" si="9"/>
        <v>44892</v>
      </c>
      <c r="E102" s="2">
        <v>1619.19</v>
      </c>
      <c r="G102" s="34">
        <f t="shared" si="8"/>
        <v>45495</v>
      </c>
      <c r="H102" s="2">
        <f t="shared" si="6"/>
        <v>1747.9280000000001</v>
      </c>
    </row>
    <row r="103" spans="1:8" ht="15" customHeight="1" x14ac:dyDescent="0.3">
      <c r="A103" t="s">
        <v>595</v>
      </c>
      <c r="B103" s="2">
        <v>1649.91</v>
      </c>
      <c r="D103" s="35">
        <f t="shared" si="9"/>
        <v>44899</v>
      </c>
      <c r="E103" s="2">
        <v>1649.91</v>
      </c>
      <c r="G103" s="34">
        <f t="shared" si="8"/>
        <v>45496</v>
      </c>
      <c r="H103" s="2">
        <f t="shared" si="6"/>
        <v>1747.9280000000001</v>
      </c>
    </row>
    <row r="104" spans="1:8" ht="15" customHeight="1" x14ac:dyDescent="0.3">
      <c r="A104" t="s">
        <v>596</v>
      </c>
      <c r="B104" s="2">
        <v>1686.2529999999999</v>
      </c>
      <c r="D104" s="35">
        <f t="shared" si="9"/>
        <v>44906</v>
      </c>
      <c r="E104" s="2">
        <v>1686.2529999999999</v>
      </c>
      <c r="G104" s="34">
        <f t="shared" si="8"/>
        <v>45497</v>
      </c>
      <c r="H104" s="2">
        <f t="shared" si="6"/>
        <v>1747.9280000000001</v>
      </c>
    </row>
    <row r="105" spans="1:8" ht="15" customHeight="1" x14ac:dyDescent="0.3">
      <c r="A105" t="s">
        <v>597</v>
      </c>
      <c r="B105" s="2">
        <v>1583.184</v>
      </c>
      <c r="D105" s="35">
        <f t="shared" si="9"/>
        <v>44913</v>
      </c>
      <c r="E105" s="2">
        <v>1583.184</v>
      </c>
      <c r="G105" s="34">
        <f t="shared" si="8"/>
        <v>45498</v>
      </c>
      <c r="H105" s="2">
        <f t="shared" si="6"/>
        <v>1747.9280000000001</v>
      </c>
    </row>
    <row r="106" spans="1:8" ht="15" customHeight="1" x14ac:dyDescent="0.3">
      <c r="A106" t="s">
        <v>598</v>
      </c>
      <c r="B106" s="2">
        <v>1485.2339999999999</v>
      </c>
      <c r="D106" s="35">
        <f t="shared" si="9"/>
        <v>44920</v>
      </c>
      <c r="E106" s="2">
        <v>1485.2339999999999</v>
      </c>
      <c r="G106" s="34">
        <f t="shared" si="8"/>
        <v>45499</v>
      </c>
      <c r="H106" s="2">
        <f t="shared" si="6"/>
        <v>1747.9280000000001</v>
      </c>
    </row>
    <row r="107" spans="1:8" ht="15" customHeight="1" x14ac:dyDescent="0.3">
      <c r="A107" t="s">
        <v>599</v>
      </c>
      <c r="B107" s="2">
        <v>1608.3979999999999</v>
      </c>
      <c r="D107" s="35">
        <f t="shared" si="9"/>
        <v>44927</v>
      </c>
      <c r="E107" s="2">
        <v>1608.3979999999999</v>
      </c>
      <c r="G107" s="34">
        <f t="shared" si="8"/>
        <v>45500</v>
      </c>
      <c r="H107" s="2">
        <f t="shared" si="6"/>
        <v>1747.9280000000001</v>
      </c>
    </row>
    <row r="108" spans="1:8" ht="15" customHeight="1" x14ac:dyDescent="0.3">
      <c r="A108" t="s">
        <v>600</v>
      </c>
      <c r="B108" s="2">
        <v>1565.2719999999999</v>
      </c>
      <c r="D108" s="35">
        <f t="shared" si="9"/>
        <v>44934</v>
      </c>
      <c r="E108" s="2">
        <v>1565.2719999999999</v>
      </c>
      <c r="G108" s="34">
        <f t="shared" si="8"/>
        <v>45501</v>
      </c>
      <c r="H108" s="2">
        <f t="shared" si="6"/>
        <v>1692.3679999999999</v>
      </c>
    </row>
    <row r="109" spans="1:8" ht="15" customHeight="1" x14ac:dyDescent="0.3">
      <c r="A109" s="41" t="s">
        <v>601</v>
      </c>
      <c r="B109" s="2">
        <v>1819.836</v>
      </c>
      <c r="D109" s="35">
        <f t="shared" si="9"/>
        <v>44941</v>
      </c>
      <c r="E109" s="2">
        <v>1819.836</v>
      </c>
      <c r="G109" s="34">
        <f t="shared" si="8"/>
        <v>45502</v>
      </c>
      <c r="H109" s="2">
        <f t="shared" si="6"/>
        <v>1692.3679999999999</v>
      </c>
    </row>
    <row r="110" spans="1:8" ht="15" customHeight="1" x14ac:dyDescent="0.3">
      <c r="A110" s="41" t="s">
        <v>602</v>
      </c>
      <c r="B110" s="2">
        <v>1869.046</v>
      </c>
      <c r="D110" s="35">
        <f t="shared" si="9"/>
        <v>44948</v>
      </c>
      <c r="E110" s="2">
        <v>1869.046</v>
      </c>
      <c r="G110" s="34">
        <f t="shared" si="8"/>
        <v>45503</v>
      </c>
      <c r="H110" s="2">
        <f t="shared" si="6"/>
        <v>1692.3679999999999</v>
      </c>
    </row>
    <row r="111" spans="1:8" ht="15" customHeight="1" x14ac:dyDescent="0.3">
      <c r="A111" s="41" t="s">
        <v>603</v>
      </c>
      <c r="B111" s="2">
        <v>1710.963</v>
      </c>
      <c r="D111" s="35">
        <f t="shared" si="9"/>
        <v>44955</v>
      </c>
      <c r="E111" s="2">
        <v>1710.963</v>
      </c>
      <c r="G111" s="34">
        <f t="shared" si="8"/>
        <v>45504</v>
      </c>
      <c r="H111" s="2">
        <f t="shared" si="6"/>
        <v>1692.3679999999999</v>
      </c>
    </row>
    <row r="112" spans="1:8" ht="15" customHeight="1" x14ac:dyDescent="0.3">
      <c r="A112" s="41" t="s">
        <v>604</v>
      </c>
      <c r="B112" s="2">
        <v>1839.421</v>
      </c>
      <c r="D112" s="35">
        <f t="shared" si="9"/>
        <v>44962</v>
      </c>
      <c r="E112" s="2">
        <v>1839.421</v>
      </c>
      <c r="G112" s="34">
        <f t="shared" si="8"/>
        <v>45505</v>
      </c>
      <c r="H112" s="2">
        <f t="shared" si="6"/>
        <v>1692.3679999999999</v>
      </c>
    </row>
    <row r="113" spans="1:8" ht="15" customHeight="1" x14ac:dyDescent="0.3">
      <c r="A113" s="41" t="s">
        <v>605</v>
      </c>
      <c r="B113" s="2">
        <v>1768.6780000000001</v>
      </c>
      <c r="D113" s="35">
        <f t="shared" si="9"/>
        <v>44969</v>
      </c>
      <c r="E113" s="2">
        <v>1768.6780000000001</v>
      </c>
      <c r="G113" s="34">
        <f t="shared" si="8"/>
        <v>45506</v>
      </c>
      <c r="H113" s="2">
        <f t="shared" si="6"/>
        <v>1692.3679999999999</v>
      </c>
    </row>
    <row r="114" spans="1:8" ht="15" customHeight="1" x14ac:dyDescent="0.3">
      <c r="A114" s="41" t="s">
        <v>606</v>
      </c>
      <c r="B114" s="2">
        <v>1944.067</v>
      </c>
      <c r="D114" s="35">
        <f t="shared" si="9"/>
        <v>44976</v>
      </c>
      <c r="E114" s="2">
        <v>1944.067</v>
      </c>
      <c r="G114" s="34">
        <f t="shared" si="8"/>
        <v>45507</v>
      </c>
      <c r="H114" s="2">
        <f t="shared" si="6"/>
        <v>1692.3679999999999</v>
      </c>
    </row>
    <row r="115" spans="1:8" ht="15" customHeight="1" x14ac:dyDescent="0.3">
      <c r="A115" s="41" t="s">
        <v>607</v>
      </c>
      <c r="B115" s="2">
        <v>1609.211</v>
      </c>
      <c r="D115" s="35">
        <f t="shared" si="9"/>
        <v>44983</v>
      </c>
      <c r="E115" s="2">
        <v>1609.211</v>
      </c>
      <c r="G115" s="34">
        <f t="shared" si="8"/>
        <v>45508</v>
      </c>
      <c r="H115" s="2">
        <f t="shared" si="6"/>
        <v>1698.07</v>
      </c>
    </row>
    <row r="116" spans="1:8" ht="15" customHeight="1" x14ac:dyDescent="0.3">
      <c r="A116" s="41" t="s">
        <v>608</v>
      </c>
      <c r="B116" s="2">
        <v>1636.085</v>
      </c>
      <c r="D116" s="35">
        <f t="shared" si="9"/>
        <v>44990</v>
      </c>
      <c r="E116" s="2">
        <v>1636.085</v>
      </c>
      <c r="G116" s="34">
        <f t="shared" si="8"/>
        <v>45509</v>
      </c>
      <c r="H116" s="2">
        <f t="shared" si="6"/>
        <v>1698.07</v>
      </c>
    </row>
    <row r="117" spans="1:8" ht="15" customHeight="1" x14ac:dyDescent="0.3">
      <c r="A117" s="41" t="s">
        <v>609</v>
      </c>
      <c r="B117" s="2">
        <v>1649.4970000000001</v>
      </c>
      <c r="D117" s="35">
        <f t="shared" si="9"/>
        <v>44997</v>
      </c>
      <c r="E117" s="2">
        <v>1649.4970000000001</v>
      </c>
      <c r="G117" s="34">
        <f t="shared" si="8"/>
        <v>45510</v>
      </c>
      <c r="H117" s="2">
        <f t="shared" si="6"/>
        <v>1698.07</v>
      </c>
    </row>
    <row r="118" spans="1:8" ht="15" customHeight="1" x14ac:dyDescent="0.3">
      <c r="A118" s="41" t="s">
        <v>610</v>
      </c>
      <c r="B118" s="2">
        <v>1601.7</v>
      </c>
      <c r="D118" s="35">
        <f t="shared" si="9"/>
        <v>45004</v>
      </c>
      <c r="E118" s="2">
        <v>1601.7</v>
      </c>
      <c r="G118" s="34">
        <f t="shared" si="8"/>
        <v>45511</v>
      </c>
      <c r="H118" s="2">
        <f t="shared" si="6"/>
        <v>1698.07</v>
      </c>
    </row>
    <row r="119" spans="1:8" ht="15" customHeight="1" x14ac:dyDescent="0.3">
      <c r="A119" s="41" t="s">
        <v>611</v>
      </c>
      <c r="B119" s="2">
        <v>1580.6579999999999</v>
      </c>
      <c r="D119" s="35">
        <f t="shared" si="9"/>
        <v>45011</v>
      </c>
      <c r="E119" s="2">
        <v>1580.6579999999999</v>
      </c>
      <c r="G119" s="34">
        <f t="shared" si="8"/>
        <v>45512</v>
      </c>
      <c r="H119" s="2">
        <f t="shared" si="6"/>
        <v>1698.07</v>
      </c>
    </row>
    <row r="120" spans="1:8" ht="15" customHeight="1" x14ac:dyDescent="0.3">
      <c r="A120" s="41" t="s">
        <v>612</v>
      </c>
      <c r="B120" s="2">
        <v>1699.7049999999999</v>
      </c>
      <c r="D120" s="35">
        <f t="shared" si="9"/>
        <v>45018</v>
      </c>
      <c r="E120" s="2">
        <v>1699.7049999999999</v>
      </c>
      <c r="G120" s="34">
        <f t="shared" si="8"/>
        <v>45513</v>
      </c>
      <c r="H120" s="2">
        <f t="shared" si="6"/>
        <v>1698.07</v>
      </c>
    </row>
    <row r="121" spans="1:8" ht="15" customHeight="1" x14ac:dyDescent="0.3">
      <c r="A121" s="41" t="s">
        <v>613</v>
      </c>
      <c r="B121" s="2">
        <v>1563.1510000000001</v>
      </c>
      <c r="D121" s="35">
        <f t="shared" si="9"/>
        <v>45025</v>
      </c>
      <c r="E121" s="2">
        <v>1563.1510000000001</v>
      </c>
      <c r="G121" s="34">
        <f t="shared" si="8"/>
        <v>45514</v>
      </c>
      <c r="H121" s="2">
        <f t="shared" si="6"/>
        <v>1698.07</v>
      </c>
    </row>
    <row r="122" spans="1:8" ht="15" customHeight="1" x14ac:dyDescent="0.3">
      <c r="A122" s="41" t="s">
        <v>614</v>
      </c>
      <c r="B122" s="2">
        <v>1821.4110000000001</v>
      </c>
      <c r="D122" s="35">
        <f t="shared" si="9"/>
        <v>45032</v>
      </c>
      <c r="E122" s="2">
        <v>1821.4110000000001</v>
      </c>
      <c r="G122" s="34">
        <f t="shared" si="8"/>
        <v>45515</v>
      </c>
      <c r="H122" s="2">
        <f t="shared" si="6"/>
        <v>1702.809</v>
      </c>
    </row>
    <row r="123" spans="1:8" ht="15" customHeight="1" x14ac:dyDescent="0.3">
      <c r="A123" s="41" t="s">
        <v>615</v>
      </c>
      <c r="B123" s="2">
        <v>1592.183</v>
      </c>
      <c r="D123" s="35">
        <f t="shared" si="9"/>
        <v>45039</v>
      </c>
      <c r="E123" s="2">
        <v>1592.183</v>
      </c>
      <c r="G123" s="34">
        <f t="shared" si="8"/>
        <v>45516</v>
      </c>
      <c r="H123" s="2">
        <f t="shared" si="6"/>
        <v>1702.809</v>
      </c>
    </row>
    <row r="124" spans="1:8" ht="15" customHeight="1" x14ac:dyDescent="0.3">
      <c r="A124" s="41" t="s">
        <v>616</v>
      </c>
      <c r="B124" s="2">
        <v>1534.038</v>
      </c>
      <c r="D124" s="35">
        <f t="shared" si="9"/>
        <v>45046</v>
      </c>
      <c r="E124" s="2">
        <v>1534.038</v>
      </c>
      <c r="G124" s="34">
        <f t="shared" si="8"/>
        <v>45517</v>
      </c>
      <c r="H124" s="2">
        <f t="shared" si="6"/>
        <v>1702.809</v>
      </c>
    </row>
    <row r="125" spans="1:8" ht="15" customHeight="1" x14ac:dyDescent="0.3">
      <c r="A125" s="41" t="s">
        <v>617</v>
      </c>
      <c r="B125" s="2">
        <v>1444.8810000000001</v>
      </c>
      <c r="D125" s="35">
        <f t="shared" si="9"/>
        <v>45053</v>
      </c>
      <c r="E125" s="2">
        <v>1444.8810000000001</v>
      </c>
      <c r="G125" s="34">
        <f t="shared" si="8"/>
        <v>45518</v>
      </c>
      <c r="H125" s="2">
        <f t="shared" si="6"/>
        <v>1702.809</v>
      </c>
    </row>
    <row r="126" spans="1:8" ht="15" customHeight="1" x14ac:dyDescent="0.3">
      <c r="A126" s="41" t="s">
        <v>618</v>
      </c>
      <c r="B126" s="2">
        <v>1351.1410000000001</v>
      </c>
      <c r="D126" s="35">
        <f t="shared" si="9"/>
        <v>45060</v>
      </c>
      <c r="E126" s="2">
        <v>1351.1410000000001</v>
      </c>
      <c r="G126" s="34">
        <f t="shared" si="8"/>
        <v>45519</v>
      </c>
      <c r="H126" s="2">
        <f t="shared" si="6"/>
        <v>1702.809</v>
      </c>
    </row>
    <row r="127" spans="1:8" ht="15" customHeight="1" x14ac:dyDescent="0.3">
      <c r="A127" s="41" t="s">
        <v>619</v>
      </c>
      <c r="B127" s="2">
        <v>1328.7650000000001</v>
      </c>
      <c r="D127" s="35">
        <f t="shared" si="9"/>
        <v>45067</v>
      </c>
      <c r="E127" s="2">
        <v>1328.7650000000001</v>
      </c>
      <c r="G127" s="34">
        <f t="shared" si="8"/>
        <v>45520</v>
      </c>
      <c r="H127" s="2">
        <f t="shared" si="6"/>
        <v>1702.809</v>
      </c>
    </row>
    <row r="128" spans="1:8" ht="15" customHeight="1" x14ac:dyDescent="0.3">
      <c r="A128" s="41" t="s">
        <v>620</v>
      </c>
      <c r="B128" s="2">
        <v>1453.4860000000001</v>
      </c>
      <c r="D128" s="35">
        <f t="shared" si="9"/>
        <v>45074</v>
      </c>
      <c r="E128" s="2">
        <v>1453.4860000000001</v>
      </c>
      <c r="G128" s="34">
        <f t="shared" si="8"/>
        <v>45521</v>
      </c>
      <c r="H128" s="2">
        <f t="shared" si="6"/>
        <v>1702.809</v>
      </c>
    </row>
    <row r="129" spans="1:8" ht="15" customHeight="1" x14ac:dyDescent="0.3">
      <c r="A129" s="41" t="s">
        <v>621</v>
      </c>
      <c r="B129" s="2">
        <v>1509.145</v>
      </c>
      <c r="D129" s="35">
        <f t="shared" si="9"/>
        <v>45081</v>
      </c>
      <c r="E129" s="2">
        <v>1509.145</v>
      </c>
      <c r="G129" s="34">
        <f t="shared" si="8"/>
        <v>45522</v>
      </c>
      <c r="H129" s="2">
        <f t="shared" si="6"/>
        <v>1509.99</v>
      </c>
    </row>
    <row r="130" spans="1:8" ht="15" customHeight="1" x14ac:dyDescent="0.3">
      <c r="A130" s="41" t="s">
        <v>622</v>
      </c>
      <c r="B130" s="2">
        <v>1513.6110000000001</v>
      </c>
      <c r="D130" s="35">
        <f t="shared" si="9"/>
        <v>45088</v>
      </c>
      <c r="E130" s="2">
        <v>1513.6110000000001</v>
      </c>
      <c r="G130" s="34">
        <f t="shared" si="8"/>
        <v>45523</v>
      </c>
      <c r="H130" s="2">
        <f t="shared" si="6"/>
        <v>1509.99</v>
      </c>
    </row>
    <row r="131" spans="1:8" ht="15" customHeight="1" x14ac:dyDescent="0.3">
      <c r="A131" s="41" t="s">
        <v>623</v>
      </c>
      <c r="B131" s="2">
        <v>1260.3889999999999</v>
      </c>
      <c r="D131" s="35">
        <f t="shared" si="9"/>
        <v>45095</v>
      </c>
      <c r="E131" s="2">
        <v>1260.3889999999999</v>
      </c>
      <c r="G131" s="34">
        <f t="shared" si="8"/>
        <v>45524</v>
      </c>
      <c r="H131" s="2">
        <f t="shared" ref="H131:H194" si="10">LOOKUP(G131,D:D,E:E)</f>
        <v>1509.99</v>
      </c>
    </row>
    <row r="132" spans="1:8" ht="15" customHeight="1" x14ac:dyDescent="0.3">
      <c r="A132" s="41" t="s">
        <v>624</v>
      </c>
      <c r="B132" s="2">
        <v>1621.171</v>
      </c>
      <c r="D132" s="35">
        <f t="shared" si="9"/>
        <v>45102</v>
      </c>
      <c r="E132" s="2">
        <v>1621.171</v>
      </c>
      <c r="G132" s="34">
        <f t="shared" ref="G132:G195" si="11">G131+1</f>
        <v>45525</v>
      </c>
      <c r="H132" s="2">
        <f t="shared" si="10"/>
        <v>1509.99</v>
      </c>
    </row>
    <row r="133" spans="1:8" ht="15" customHeight="1" x14ac:dyDescent="0.3">
      <c r="A133" s="41" t="s">
        <v>625</v>
      </c>
      <c r="B133" s="2">
        <v>1624.921</v>
      </c>
      <c r="D133" s="35">
        <f t="shared" si="9"/>
        <v>45109</v>
      </c>
      <c r="E133" s="2">
        <v>1624.921</v>
      </c>
      <c r="G133" s="34">
        <f t="shared" si="11"/>
        <v>45526</v>
      </c>
      <c r="H133" s="2">
        <f t="shared" si="10"/>
        <v>1509.99</v>
      </c>
    </row>
    <row r="134" spans="1:8" ht="15" customHeight="1" x14ac:dyDescent="0.3">
      <c r="A134" s="41" t="s">
        <v>626</v>
      </c>
      <c r="B134" s="2">
        <v>1491.1030000000001</v>
      </c>
      <c r="D134" s="35">
        <f t="shared" si="9"/>
        <v>45116</v>
      </c>
      <c r="E134" s="2">
        <v>1491.1030000000001</v>
      </c>
      <c r="G134" s="34">
        <f t="shared" si="11"/>
        <v>45527</v>
      </c>
      <c r="H134" s="2">
        <f t="shared" si="10"/>
        <v>1509.99</v>
      </c>
    </row>
    <row r="135" spans="1:8" ht="15" customHeight="1" x14ac:dyDescent="0.3">
      <c r="A135" s="41" t="s">
        <v>627</v>
      </c>
      <c r="B135" s="2">
        <v>1533.3679999999999</v>
      </c>
      <c r="D135" s="35">
        <f t="shared" si="9"/>
        <v>45123</v>
      </c>
      <c r="E135" s="2">
        <v>1533.3679999999999</v>
      </c>
      <c r="G135" s="34">
        <f t="shared" si="11"/>
        <v>45528</v>
      </c>
      <c r="H135" s="2">
        <f t="shared" si="10"/>
        <v>1509.99</v>
      </c>
    </row>
    <row r="136" spans="1:8" ht="15" customHeight="1" x14ac:dyDescent="0.3">
      <c r="A136" s="41" t="s">
        <v>628</v>
      </c>
      <c r="B136" s="2">
        <v>1635.126</v>
      </c>
      <c r="D136" s="35">
        <f t="shared" si="9"/>
        <v>45130</v>
      </c>
      <c r="E136" s="2">
        <v>1635.126</v>
      </c>
      <c r="G136" s="34">
        <f t="shared" si="11"/>
        <v>45529</v>
      </c>
      <c r="H136" s="2">
        <f t="shared" si="10"/>
        <v>1398.7570000000001</v>
      </c>
    </row>
    <row r="137" spans="1:8" ht="15" customHeight="1" x14ac:dyDescent="0.3">
      <c r="A137" s="41" t="s">
        <v>629</v>
      </c>
      <c r="B137" s="2">
        <v>1634.306</v>
      </c>
      <c r="D137" s="35">
        <f t="shared" si="9"/>
        <v>45137</v>
      </c>
      <c r="E137" s="2">
        <v>1634.306</v>
      </c>
      <c r="G137" s="34">
        <f t="shared" si="11"/>
        <v>45530</v>
      </c>
      <c r="H137" s="2">
        <f t="shared" si="10"/>
        <v>1398.7570000000001</v>
      </c>
    </row>
    <row r="138" spans="1:8" ht="15" customHeight="1" x14ac:dyDescent="0.3">
      <c r="A138" s="41" t="s">
        <v>630</v>
      </c>
      <c r="B138" s="2">
        <v>1528.8240000000001</v>
      </c>
      <c r="D138" s="35">
        <f t="shared" si="9"/>
        <v>45144</v>
      </c>
      <c r="E138" s="2">
        <v>1528.8240000000001</v>
      </c>
      <c r="G138" s="34">
        <f t="shared" si="11"/>
        <v>45531</v>
      </c>
      <c r="H138" s="2">
        <f t="shared" si="10"/>
        <v>1398.7570000000001</v>
      </c>
    </row>
    <row r="139" spans="1:8" ht="15" customHeight="1" x14ac:dyDescent="0.3">
      <c r="A139" s="41" t="s">
        <v>631</v>
      </c>
      <c r="B139" s="2">
        <v>1464.298</v>
      </c>
      <c r="D139" s="35">
        <f t="shared" si="9"/>
        <v>45151</v>
      </c>
      <c r="E139" s="2">
        <v>1464.298</v>
      </c>
      <c r="G139" s="34">
        <f t="shared" si="11"/>
        <v>45532</v>
      </c>
      <c r="H139" s="2">
        <f t="shared" si="10"/>
        <v>1398.7570000000001</v>
      </c>
    </row>
    <row r="140" spans="1:8" ht="15" customHeight="1" x14ac:dyDescent="0.3">
      <c r="A140" s="41" t="s">
        <v>632</v>
      </c>
      <c r="B140" s="2">
        <v>1479.0219999999999</v>
      </c>
      <c r="D140" s="35">
        <f t="shared" si="9"/>
        <v>45158</v>
      </c>
      <c r="E140" s="2">
        <v>1479.0219999999999</v>
      </c>
      <c r="G140" s="34">
        <f t="shared" si="11"/>
        <v>45533</v>
      </c>
      <c r="H140" s="2">
        <f t="shared" si="10"/>
        <v>1398.7570000000001</v>
      </c>
    </row>
    <row r="141" spans="1:8" ht="15" customHeight="1" x14ac:dyDescent="0.3">
      <c r="A141" s="41" t="s">
        <v>633</v>
      </c>
      <c r="B141" s="2">
        <v>1702.046</v>
      </c>
      <c r="D141" s="35">
        <f t="shared" si="9"/>
        <v>45165</v>
      </c>
      <c r="E141" s="2">
        <v>1702.046</v>
      </c>
      <c r="G141" s="34">
        <f t="shared" si="11"/>
        <v>45534</v>
      </c>
      <c r="H141" s="2">
        <f t="shared" si="10"/>
        <v>1398.7570000000001</v>
      </c>
    </row>
    <row r="142" spans="1:8" ht="15" customHeight="1" x14ac:dyDescent="0.3">
      <c r="A142" s="41" t="s">
        <v>634</v>
      </c>
      <c r="B142" s="2">
        <v>1597.66</v>
      </c>
      <c r="D142" s="35">
        <f t="shared" si="9"/>
        <v>45172</v>
      </c>
      <c r="E142" s="2">
        <v>1597.66</v>
      </c>
      <c r="G142" s="34">
        <f t="shared" si="11"/>
        <v>45535</v>
      </c>
      <c r="H142" s="2">
        <f t="shared" si="10"/>
        <v>1398.7570000000001</v>
      </c>
    </row>
    <row r="143" spans="1:8" ht="15" customHeight="1" x14ac:dyDescent="0.3">
      <c r="A143" s="41" t="s">
        <v>635</v>
      </c>
      <c r="B143" s="2">
        <v>1551.598</v>
      </c>
      <c r="D143" s="35">
        <f t="shared" si="9"/>
        <v>45179</v>
      </c>
      <c r="E143" s="2">
        <v>1551.598</v>
      </c>
      <c r="G143" s="34">
        <f t="shared" si="11"/>
        <v>45536</v>
      </c>
      <c r="H143" s="2">
        <f t="shared" si="10"/>
        <v>1505.7750000000001</v>
      </c>
    </row>
    <row r="144" spans="1:8" ht="15" customHeight="1" x14ac:dyDescent="0.3">
      <c r="A144" s="41" t="s">
        <v>636</v>
      </c>
      <c r="B144" s="2">
        <v>1777.479</v>
      </c>
      <c r="D144" s="35">
        <f t="shared" si="9"/>
        <v>45186</v>
      </c>
      <c r="E144" s="2">
        <v>1777.479</v>
      </c>
      <c r="G144" s="34">
        <f t="shared" si="11"/>
        <v>45537</v>
      </c>
      <c r="H144" s="2">
        <f t="shared" si="10"/>
        <v>1505.7750000000001</v>
      </c>
    </row>
    <row r="145" spans="1:8" ht="15" customHeight="1" x14ac:dyDescent="0.3">
      <c r="A145" s="41" t="s">
        <v>637</v>
      </c>
      <c r="B145" s="2">
        <v>1567.4829999999999</v>
      </c>
      <c r="D145" s="35">
        <f t="shared" si="9"/>
        <v>45193</v>
      </c>
      <c r="E145" s="2">
        <v>1567.4829999999999</v>
      </c>
      <c r="G145" s="34">
        <f t="shared" si="11"/>
        <v>45538</v>
      </c>
      <c r="H145" s="2">
        <f t="shared" si="10"/>
        <v>1505.7750000000001</v>
      </c>
    </row>
    <row r="146" spans="1:8" ht="15" customHeight="1" x14ac:dyDescent="0.3">
      <c r="A146" s="41" t="s">
        <v>638</v>
      </c>
      <c r="B146" s="2">
        <v>1720.454</v>
      </c>
      <c r="D146" s="35">
        <f t="shared" si="9"/>
        <v>45200</v>
      </c>
      <c r="E146" s="2">
        <v>1720.454</v>
      </c>
      <c r="G146" s="34">
        <f t="shared" si="11"/>
        <v>45539</v>
      </c>
      <c r="H146" s="2">
        <f t="shared" si="10"/>
        <v>1505.7750000000001</v>
      </c>
    </row>
    <row r="147" spans="1:8" ht="15" customHeight="1" x14ac:dyDescent="0.3">
      <c r="A147" s="41" t="s">
        <v>639</v>
      </c>
      <c r="B147" s="2">
        <v>1535.394</v>
      </c>
      <c r="D147" s="35">
        <f t="shared" si="9"/>
        <v>45207</v>
      </c>
      <c r="E147" s="2">
        <v>1535.394</v>
      </c>
      <c r="G147" s="34">
        <f t="shared" si="11"/>
        <v>45540</v>
      </c>
      <c r="H147" s="2">
        <f t="shared" si="10"/>
        <v>1505.7750000000001</v>
      </c>
    </row>
    <row r="148" spans="1:8" ht="15" customHeight="1" x14ac:dyDescent="0.3">
      <c r="A148" s="41" t="s">
        <v>640</v>
      </c>
      <c r="B148" s="2">
        <v>1561.0619999999999</v>
      </c>
      <c r="D148" s="35">
        <f t="shared" si="9"/>
        <v>45214</v>
      </c>
      <c r="E148" s="2">
        <v>1561.0619999999999</v>
      </c>
      <c r="G148" s="34">
        <f t="shared" si="11"/>
        <v>45541</v>
      </c>
      <c r="H148" s="2">
        <f t="shared" si="10"/>
        <v>1505.7750000000001</v>
      </c>
    </row>
    <row r="149" spans="1:8" ht="15" customHeight="1" x14ac:dyDescent="0.3">
      <c r="A149" s="41" t="s">
        <v>641</v>
      </c>
      <c r="B149" s="2">
        <v>1669.252</v>
      </c>
      <c r="D149" s="35">
        <f t="shared" si="9"/>
        <v>45221</v>
      </c>
      <c r="E149" s="2">
        <v>1669.252</v>
      </c>
      <c r="G149" s="34">
        <f t="shared" si="11"/>
        <v>45542</v>
      </c>
      <c r="H149" s="2">
        <f t="shared" si="10"/>
        <v>1505.7750000000001</v>
      </c>
    </row>
    <row r="150" spans="1:8" ht="15" customHeight="1" x14ac:dyDescent="0.3">
      <c r="A150" s="41" t="s">
        <v>642</v>
      </c>
      <c r="B150" s="2">
        <v>1679.9770000000001</v>
      </c>
      <c r="D150" s="35">
        <f t="shared" si="9"/>
        <v>45228</v>
      </c>
      <c r="E150" s="2">
        <v>1679.9770000000001</v>
      </c>
      <c r="G150" s="34">
        <f t="shared" si="11"/>
        <v>45543</v>
      </c>
      <c r="H150" s="2">
        <f t="shared" si="10"/>
        <v>1343.2380000000001</v>
      </c>
    </row>
    <row r="151" spans="1:8" ht="15" customHeight="1" x14ac:dyDescent="0.3">
      <c r="A151" s="41" t="s">
        <v>643</v>
      </c>
      <c r="B151" s="2">
        <v>1505.653</v>
      </c>
      <c r="D151" s="35">
        <f t="shared" si="9"/>
        <v>45235</v>
      </c>
      <c r="E151" s="2">
        <v>1505.653</v>
      </c>
      <c r="G151" s="34">
        <f t="shared" si="11"/>
        <v>45544</v>
      </c>
      <c r="H151" s="2">
        <f t="shared" si="10"/>
        <v>1343.2380000000001</v>
      </c>
    </row>
    <row r="152" spans="1:8" ht="15" customHeight="1" x14ac:dyDescent="0.3">
      <c r="A152" s="41" t="s">
        <v>644</v>
      </c>
      <c r="B152" s="2">
        <v>1426.8040000000001</v>
      </c>
      <c r="D152" s="35">
        <f t="shared" si="9"/>
        <v>45242</v>
      </c>
      <c r="E152" s="2">
        <v>1426.8040000000001</v>
      </c>
      <c r="G152" s="34">
        <f t="shared" si="11"/>
        <v>45545</v>
      </c>
      <c r="H152" s="2">
        <f t="shared" si="10"/>
        <v>1343.2380000000001</v>
      </c>
    </row>
    <row r="153" spans="1:8" ht="15" customHeight="1" x14ac:dyDescent="0.3">
      <c r="A153" s="41" t="s">
        <v>645</v>
      </c>
      <c r="B153" s="2">
        <v>1392.194</v>
      </c>
      <c r="D153" s="35">
        <f t="shared" si="9"/>
        <v>45249</v>
      </c>
      <c r="E153" s="2">
        <v>1392.194</v>
      </c>
      <c r="G153" s="34">
        <f t="shared" si="11"/>
        <v>45546</v>
      </c>
      <c r="H153" s="2">
        <f t="shared" si="10"/>
        <v>1343.2380000000001</v>
      </c>
    </row>
    <row r="154" spans="1:8" ht="15" customHeight="1" x14ac:dyDescent="0.3">
      <c r="A154" s="41" t="s">
        <v>646</v>
      </c>
      <c r="B154" s="2">
        <v>1416.37</v>
      </c>
      <c r="D154" s="35">
        <f t="shared" si="9"/>
        <v>45256</v>
      </c>
      <c r="E154" s="2">
        <v>1416.37</v>
      </c>
      <c r="G154" s="34">
        <f t="shared" si="11"/>
        <v>45547</v>
      </c>
      <c r="H154" s="2">
        <f t="shared" si="10"/>
        <v>1343.2380000000001</v>
      </c>
    </row>
    <row r="155" spans="1:8" ht="15" customHeight="1" x14ac:dyDescent="0.3">
      <c r="A155" s="41" t="s">
        <v>647</v>
      </c>
      <c r="B155" s="2">
        <v>1573.6410000000001</v>
      </c>
      <c r="D155" s="35">
        <f t="shared" si="9"/>
        <v>45263</v>
      </c>
      <c r="E155" s="2">
        <v>1573.6410000000001</v>
      </c>
      <c r="G155" s="34">
        <f t="shared" si="11"/>
        <v>45548</v>
      </c>
      <c r="H155" s="2">
        <f t="shared" si="10"/>
        <v>1343.2380000000001</v>
      </c>
    </row>
    <row r="156" spans="1:8" ht="15" customHeight="1" x14ac:dyDescent="0.3">
      <c r="A156" s="41" t="s">
        <v>648</v>
      </c>
      <c r="B156" s="2">
        <v>1541.3240000000001</v>
      </c>
      <c r="D156" s="35">
        <f t="shared" si="9"/>
        <v>45270</v>
      </c>
      <c r="E156" s="2">
        <v>1541.3240000000001</v>
      </c>
      <c r="G156" s="34">
        <f t="shared" si="11"/>
        <v>45549</v>
      </c>
      <c r="H156" s="2">
        <f t="shared" si="10"/>
        <v>1343.2380000000001</v>
      </c>
    </row>
    <row r="157" spans="1:8" ht="15" customHeight="1" x14ac:dyDescent="0.3">
      <c r="A157" s="41" t="s">
        <v>649</v>
      </c>
      <c r="B157" s="2">
        <v>1671.057</v>
      </c>
      <c r="D157" s="35">
        <f t="shared" si="9"/>
        <v>45277</v>
      </c>
      <c r="E157" s="2">
        <v>1671.057</v>
      </c>
      <c r="G157" s="34">
        <f t="shared" si="11"/>
        <v>45550</v>
      </c>
      <c r="H157" s="2">
        <f t="shared" si="10"/>
        <v>1516.847</v>
      </c>
    </row>
    <row r="158" spans="1:8" ht="15" customHeight="1" x14ac:dyDescent="0.3">
      <c r="A158" s="41" t="s">
        <v>650</v>
      </c>
      <c r="B158" s="2">
        <v>1927.7380000000001</v>
      </c>
      <c r="D158" s="35">
        <f t="shared" si="9"/>
        <v>45284</v>
      </c>
      <c r="E158" s="2">
        <v>1927.7380000000001</v>
      </c>
      <c r="G158" s="34">
        <f t="shared" si="11"/>
        <v>45551</v>
      </c>
      <c r="H158" s="2">
        <f t="shared" si="10"/>
        <v>1516.847</v>
      </c>
    </row>
    <row r="159" spans="1:8" ht="15" customHeight="1" x14ac:dyDescent="0.3">
      <c r="A159" s="41" t="s">
        <v>651</v>
      </c>
      <c r="B159" s="2">
        <v>1959.4760000000001</v>
      </c>
      <c r="D159" s="35">
        <f t="shared" si="9"/>
        <v>45291</v>
      </c>
      <c r="E159" s="2">
        <v>1959.4760000000001</v>
      </c>
      <c r="G159" s="34">
        <f t="shared" si="11"/>
        <v>45552</v>
      </c>
      <c r="H159" s="2">
        <f t="shared" si="10"/>
        <v>1516.847</v>
      </c>
    </row>
    <row r="160" spans="1:8" ht="15" customHeight="1" x14ac:dyDescent="0.3">
      <c r="A160" s="41" t="s">
        <v>652</v>
      </c>
      <c r="B160" s="2">
        <v>2018.5450000000001</v>
      </c>
      <c r="D160" s="35">
        <f t="shared" si="9"/>
        <v>45298</v>
      </c>
      <c r="E160" s="2">
        <v>2018.5450000000001</v>
      </c>
      <c r="G160" s="34">
        <f t="shared" si="11"/>
        <v>45553</v>
      </c>
      <c r="H160" s="2">
        <f t="shared" si="10"/>
        <v>1516.847</v>
      </c>
    </row>
    <row r="161" spans="1:8" ht="15" customHeight="1" x14ac:dyDescent="0.3">
      <c r="A161" s="41" t="s">
        <v>653</v>
      </c>
      <c r="B161" s="2">
        <v>1977.69</v>
      </c>
      <c r="D161" s="35">
        <f t="shared" si="9"/>
        <v>45305</v>
      </c>
      <c r="E161" s="2">
        <v>1977.69</v>
      </c>
      <c r="G161" s="34">
        <f t="shared" si="11"/>
        <v>45554</v>
      </c>
      <c r="H161" s="2">
        <f t="shared" si="10"/>
        <v>1516.847</v>
      </c>
    </row>
    <row r="162" spans="1:8" ht="15" customHeight="1" x14ac:dyDescent="0.3">
      <c r="A162" s="41" t="s">
        <v>654</v>
      </c>
      <c r="B162" s="2">
        <v>2062.2809999999999</v>
      </c>
      <c r="D162" s="35">
        <f t="shared" si="9"/>
        <v>45312</v>
      </c>
      <c r="E162" s="2">
        <v>2062.2809999999999</v>
      </c>
      <c r="G162" s="34">
        <f t="shared" si="11"/>
        <v>45555</v>
      </c>
      <c r="H162" s="2">
        <f t="shared" si="10"/>
        <v>1516.847</v>
      </c>
    </row>
    <row r="163" spans="1:8" ht="15" customHeight="1" x14ac:dyDescent="0.3">
      <c r="A163" s="41" t="s">
        <v>655</v>
      </c>
      <c r="B163" s="2">
        <v>2120.6550000000002</v>
      </c>
      <c r="D163" s="35">
        <f t="shared" si="9"/>
        <v>45319</v>
      </c>
      <c r="E163" s="2">
        <v>2120.6550000000002</v>
      </c>
      <c r="G163" s="34">
        <f t="shared" si="11"/>
        <v>45556</v>
      </c>
      <c r="H163" s="2">
        <f t="shared" si="10"/>
        <v>1516.847</v>
      </c>
    </row>
    <row r="164" spans="1:8" ht="15" customHeight="1" x14ac:dyDescent="0.3">
      <c r="A164" s="41" t="s">
        <v>656</v>
      </c>
      <c r="B164" s="2">
        <v>1995.154</v>
      </c>
      <c r="D164" s="35">
        <f t="shared" ref="D164:D227" si="12">D163+7</f>
        <v>45326</v>
      </c>
      <c r="E164" s="2">
        <v>1995.154</v>
      </c>
      <c r="G164" s="34">
        <f t="shared" si="11"/>
        <v>45557</v>
      </c>
      <c r="H164" s="2">
        <f t="shared" si="10"/>
        <v>1335.9949999999999</v>
      </c>
    </row>
    <row r="165" spans="1:8" ht="15" customHeight="1" x14ac:dyDescent="0.3">
      <c r="A165" s="41" t="s">
        <v>657</v>
      </c>
      <c r="B165" s="2">
        <v>2022.665</v>
      </c>
      <c r="D165" s="35">
        <f t="shared" si="12"/>
        <v>45333</v>
      </c>
      <c r="E165" s="2">
        <v>2022.665</v>
      </c>
      <c r="G165" s="34">
        <f t="shared" si="11"/>
        <v>45558</v>
      </c>
      <c r="H165" s="2">
        <f t="shared" si="10"/>
        <v>1335.9949999999999</v>
      </c>
    </row>
    <row r="166" spans="1:8" ht="15" customHeight="1" x14ac:dyDescent="0.3">
      <c r="A166" s="41" t="s">
        <v>658</v>
      </c>
      <c r="B166" s="2">
        <v>1977.3889999999999</v>
      </c>
      <c r="D166" s="35">
        <f t="shared" si="12"/>
        <v>45340</v>
      </c>
      <c r="E166" s="2">
        <v>1977.3889999999999</v>
      </c>
      <c r="G166" s="34">
        <f t="shared" si="11"/>
        <v>45559</v>
      </c>
      <c r="H166" s="2">
        <f t="shared" si="10"/>
        <v>1335.9949999999999</v>
      </c>
    </row>
    <row r="167" spans="1:8" ht="15" customHeight="1" x14ac:dyDescent="0.3">
      <c r="A167" s="41" t="s">
        <v>659</v>
      </c>
      <c r="B167" s="2">
        <v>1870.9</v>
      </c>
      <c r="D167" s="35">
        <f t="shared" si="12"/>
        <v>45347</v>
      </c>
      <c r="E167" s="2">
        <v>1870.9</v>
      </c>
      <c r="G167" s="34">
        <f t="shared" si="11"/>
        <v>45560</v>
      </c>
      <c r="H167" s="2">
        <f t="shared" si="10"/>
        <v>1335.9949999999999</v>
      </c>
    </row>
    <row r="168" spans="1:8" ht="15" customHeight="1" x14ac:dyDescent="0.3">
      <c r="A168" s="41" t="s">
        <v>660</v>
      </c>
      <c r="B168" s="2">
        <v>1950.3230000000001</v>
      </c>
      <c r="D168" s="35">
        <f t="shared" si="12"/>
        <v>45354</v>
      </c>
      <c r="E168" s="2">
        <v>1950.3230000000001</v>
      </c>
      <c r="G168" s="34">
        <f t="shared" si="11"/>
        <v>45561</v>
      </c>
      <c r="H168" s="2">
        <f t="shared" si="10"/>
        <v>1335.9949999999999</v>
      </c>
    </row>
    <row r="169" spans="1:8" ht="15" customHeight="1" x14ac:dyDescent="0.3">
      <c r="A169" s="41" t="s">
        <v>661</v>
      </c>
      <c r="B169" s="2">
        <v>2066.5070000000001</v>
      </c>
      <c r="D169" s="35">
        <f t="shared" si="12"/>
        <v>45361</v>
      </c>
      <c r="E169" s="2">
        <v>2066.5070000000001</v>
      </c>
      <c r="G169" s="34">
        <f t="shared" si="11"/>
        <v>45562</v>
      </c>
      <c r="H169" s="2">
        <f t="shared" si="10"/>
        <v>1335.9949999999999</v>
      </c>
    </row>
    <row r="170" spans="1:8" ht="15" customHeight="1" x14ac:dyDescent="0.3">
      <c r="A170" s="41" t="s">
        <v>662</v>
      </c>
      <c r="B170" s="2">
        <v>1890.539</v>
      </c>
      <c r="D170" s="35">
        <f t="shared" si="12"/>
        <v>45368</v>
      </c>
      <c r="E170" s="2">
        <v>1890.539</v>
      </c>
      <c r="G170" s="34">
        <f t="shared" si="11"/>
        <v>45563</v>
      </c>
      <c r="H170" s="2">
        <f t="shared" si="10"/>
        <v>1335.9949999999999</v>
      </c>
    </row>
    <row r="171" spans="1:8" ht="15" customHeight="1" x14ac:dyDescent="0.3">
      <c r="A171" s="41" t="s">
        <v>663</v>
      </c>
      <c r="B171" s="2">
        <v>2046.6010000000001</v>
      </c>
      <c r="D171" s="35">
        <f t="shared" si="12"/>
        <v>45375</v>
      </c>
      <c r="E171" s="2">
        <v>2046.6010000000001</v>
      </c>
      <c r="G171" s="34">
        <f t="shared" si="11"/>
        <v>45564</v>
      </c>
      <c r="H171" s="2">
        <f t="shared" si="10"/>
        <v>1305.066</v>
      </c>
    </row>
    <row r="172" spans="1:8" ht="15" customHeight="1" x14ac:dyDescent="0.3">
      <c r="A172" s="41" t="s">
        <v>664</v>
      </c>
      <c r="B172" s="2">
        <v>2006.71</v>
      </c>
      <c r="D172" s="35">
        <f t="shared" si="12"/>
        <v>45382</v>
      </c>
      <c r="E172" s="2">
        <v>2006.71</v>
      </c>
      <c r="G172" s="34">
        <f t="shared" si="11"/>
        <v>45565</v>
      </c>
      <c r="H172" s="2">
        <f t="shared" si="10"/>
        <v>1305.066</v>
      </c>
    </row>
    <row r="173" spans="1:8" ht="15" customHeight="1" x14ac:dyDescent="0.3">
      <c r="A173" s="41" t="s">
        <v>665</v>
      </c>
      <c r="B173" s="2">
        <v>1910.6489999999999</v>
      </c>
      <c r="D173" s="35">
        <f t="shared" si="12"/>
        <v>45389</v>
      </c>
      <c r="E173" s="2">
        <v>1910.6489999999999</v>
      </c>
      <c r="G173" s="34">
        <f t="shared" si="11"/>
        <v>45566</v>
      </c>
      <c r="H173" s="2">
        <f t="shared" si="10"/>
        <v>1305.066</v>
      </c>
    </row>
    <row r="174" spans="1:8" ht="15" customHeight="1" x14ac:dyDescent="0.3">
      <c r="A174" s="41" t="s">
        <v>359</v>
      </c>
      <c r="B174" s="2">
        <v>2171.9079999999999</v>
      </c>
      <c r="D174" s="35">
        <f t="shared" si="12"/>
        <v>45396</v>
      </c>
      <c r="E174" s="2">
        <v>2171.9079999999999</v>
      </c>
      <c r="G174" s="34">
        <f t="shared" si="11"/>
        <v>45567</v>
      </c>
      <c r="H174" s="2">
        <f t="shared" si="10"/>
        <v>1305.066</v>
      </c>
    </row>
    <row r="175" spans="1:8" ht="15" customHeight="1" x14ac:dyDescent="0.3">
      <c r="A175" s="41" t="s">
        <v>360</v>
      </c>
      <c r="B175" s="2">
        <v>2071.498</v>
      </c>
      <c r="D175" s="35">
        <f t="shared" si="12"/>
        <v>45403</v>
      </c>
      <c r="E175" s="2">
        <v>2071.498</v>
      </c>
      <c r="G175" s="34">
        <f t="shared" si="11"/>
        <v>45568</v>
      </c>
      <c r="H175" s="2">
        <f t="shared" si="10"/>
        <v>1305.066</v>
      </c>
    </row>
    <row r="176" spans="1:8" ht="15" customHeight="1" x14ac:dyDescent="0.3">
      <c r="A176" s="41" t="s">
        <v>361</v>
      </c>
      <c r="B176" s="2">
        <v>2128.3560000000002</v>
      </c>
      <c r="D176" s="35">
        <f t="shared" si="12"/>
        <v>45410</v>
      </c>
      <c r="E176" s="2">
        <v>2128.3560000000002</v>
      </c>
      <c r="G176" s="34">
        <f t="shared" si="11"/>
        <v>45569</v>
      </c>
      <c r="H176" s="2">
        <f t="shared" si="10"/>
        <v>1305.066</v>
      </c>
    </row>
    <row r="177" spans="1:8" ht="15" customHeight="1" x14ac:dyDescent="0.3">
      <c r="A177" s="41" t="s">
        <v>362</v>
      </c>
      <c r="B177" s="2">
        <v>2108.3200000000002</v>
      </c>
      <c r="D177" s="35">
        <f t="shared" si="12"/>
        <v>45417</v>
      </c>
      <c r="E177" s="2">
        <v>2108.3200000000002</v>
      </c>
      <c r="G177" s="34">
        <f t="shared" si="11"/>
        <v>45570</v>
      </c>
      <c r="H177" s="2">
        <f t="shared" si="10"/>
        <v>1305.066</v>
      </c>
    </row>
    <row r="178" spans="1:8" ht="15" customHeight="1" x14ac:dyDescent="0.3">
      <c r="A178" s="41" t="s">
        <v>363</v>
      </c>
      <c r="B178" s="2">
        <v>1888.922</v>
      </c>
      <c r="D178" s="35">
        <f t="shared" si="12"/>
        <v>45424</v>
      </c>
      <c r="E178" s="2">
        <v>1888.922</v>
      </c>
      <c r="G178" s="34">
        <f t="shared" si="11"/>
        <v>45571</v>
      </c>
      <c r="H178" s="2">
        <f t="shared" si="10"/>
        <v>1333.9459999999999</v>
      </c>
    </row>
    <row r="179" spans="1:8" ht="15" customHeight="1" x14ac:dyDescent="0.3">
      <c r="A179" s="41" t="s">
        <v>364</v>
      </c>
      <c r="B179" s="2">
        <v>2217.9810000000002</v>
      </c>
      <c r="D179" s="35">
        <f t="shared" si="12"/>
        <v>45431</v>
      </c>
      <c r="E179" s="2">
        <v>2217.9810000000002</v>
      </c>
      <c r="G179" s="34">
        <f t="shared" si="11"/>
        <v>45572</v>
      </c>
      <c r="H179" s="2">
        <f t="shared" si="10"/>
        <v>1333.9459999999999</v>
      </c>
    </row>
    <row r="180" spans="1:8" ht="15" customHeight="1" x14ac:dyDescent="0.3">
      <c r="A180" s="41" t="s">
        <v>365</v>
      </c>
      <c r="B180" s="2">
        <v>2091.029</v>
      </c>
      <c r="D180" s="35">
        <f t="shared" si="12"/>
        <v>45438</v>
      </c>
      <c r="E180" s="2">
        <v>2091.029</v>
      </c>
      <c r="G180" s="34">
        <f t="shared" si="11"/>
        <v>45573</v>
      </c>
      <c r="H180" s="2">
        <f t="shared" si="10"/>
        <v>1333.9459999999999</v>
      </c>
    </row>
    <row r="181" spans="1:8" ht="15" customHeight="1" x14ac:dyDescent="0.3">
      <c r="A181" s="41" t="s">
        <v>366</v>
      </c>
      <c r="B181" s="2">
        <v>2199.2170000000001</v>
      </c>
      <c r="D181" s="35">
        <f t="shared" si="12"/>
        <v>45445</v>
      </c>
      <c r="E181" s="2">
        <v>2199.2170000000001</v>
      </c>
      <c r="G181" s="34">
        <f t="shared" si="11"/>
        <v>45574</v>
      </c>
      <c r="H181" s="2">
        <f t="shared" si="10"/>
        <v>1333.9459999999999</v>
      </c>
    </row>
    <row r="182" spans="1:8" ht="15" customHeight="1" x14ac:dyDescent="0.3">
      <c r="A182" s="41" t="s">
        <v>367</v>
      </c>
      <c r="B182" s="2">
        <v>2083.8319999999999</v>
      </c>
      <c r="D182" s="35">
        <f t="shared" si="12"/>
        <v>45452</v>
      </c>
      <c r="E182" s="2">
        <v>2083.8319999999999</v>
      </c>
      <c r="G182" s="34">
        <f t="shared" si="11"/>
        <v>45575</v>
      </c>
      <c r="H182" s="2">
        <f t="shared" si="10"/>
        <v>1333.9459999999999</v>
      </c>
    </row>
    <row r="183" spans="1:8" ht="15" customHeight="1" x14ac:dyDescent="0.3">
      <c r="A183" s="41" t="s">
        <v>368</v>
      </c>
      <c r="B183" s="2">
        <v>2083.1999999999998</v>
      </c>
      <c r="D183" s="35">
        <f t="shared" si="12"/>
        <v>45459</v>
      </c>
      <c r="E183" s="2">
        <v>2083.1999999999998</v>
      </c>
      <c r="G183" s="34">
        <f t="shared" si="11"/>
        <v>45576</v>
      </c>
      <c r="H183" s="2">
        <f t="shared" si="10"/>
        <v>1333.9459999999999</v>
      </c>
    </row>
    <row r="184" spans="1:8" ht="15" customHeight="1" x14ac:dyDescent="0.3">
      <c r="A184" s="41" t="s">
        <v>369</v>
      </c>
      <c r="B184" s="2">
        <v>2021.424</v>
      </c>
      <c r="D184" s="35">
        <f t="shared" si="12"/>
        <v>45466</v>
      </c>
      <c r="E184" s="2">
        <v>2021.424</v>
      </c>
      <c r="G184" s="34">
        <f t="shared" si="11"/>
        <v>45577</v>
      </c>
      <c r="H184" s="2">
        <f t="shared" si="10"/>
        <v>1333.9459999999999</v>
      </c>
    </row>
    <row r="185" spans="1:8" ht="15" customHeight="1" x14ac:dyDescent="0.3">
      <c r="A185" s="41" t="s">
        <v>370</v>
      </c>
      <c r="B185" s="2">
        <v>1996.259</v>
      </c>
      <c r="D185" s="35">
        <f t="shared" si="12"/>
        <v>45473</v>
      </c>
      <c r="E185" s="2">
        <v>1996.259</v>
      </c>
      <c r="G185" s="34">
        <f t="shared" si="11"/>
        <v>45578</v>
      </c>
      <c r="H185" s="2">
        <f t="shared" si="10"/>
        <v>1394.0170000000001</v>
      </c>
    </row>
    <row r="186" spans="1:8" ht="15" customHeight="1" x14ac:dyDescent="0.3">
      <c r="A186" s="41" t="s">
        <v>371</v>
      </c>
      <c r="B186" s="2">
        <v>1902.828</v>
      </c>
      <c r="D186" s="35">
        <f t="shared" si="12"/>
        <v>45480</v>
      </c>
      <c r="E186" s="2">
        <v>1902.828</v>
      </c>
      <c r="G186" s="34">
        <f t="shared" si="11"/>
        <v>45579</v>
      </c>
      <c r="H186" s="2">
        <f t="shared" si="10"/>
        <v>1394.0170000000001</v>
      </c>
    </row>
    <row r="187" spans="1:8" ht="15" customHeight="1" x14ac:dyDescent="0.3">
      <c r="A187" s="41" t="s">
        <v>372</v>
      </c>
      <c r="B187" s="2">
        <v>1747.309</v>
      </c>
      <c r="D187" s="35">
        <f t="shared" si="12"/>
        <v>45487</v>
      </c>
      <c r="E187" s="2">
        <v>1747.309</v>
      </c>
      <c r="G187" s="34">
        <f t="shared" si="11"/>
        <v>45580</v>
      </c>
      <c r="H187" s="2">
        <f t="shared" si="10"/>
        <v>1394.0170000000001</v>
      </c>
    </row>
    <row r="188" spans="1:8" ht="15" customHeight="1" x14ac:dyDescent="0.3">
      <c r="A188" s="41" t="s">
        <v>373</v>
      </c>
      <c r="B188" s="2">
        <v>1747.9280000000001</v>
      </c>
      <c r="D188" s="35">
        <f t="shared" si="12"/>
        <v>45494</v>
      </c>
      <c r="E188" s="2">
        <v>1747.9280000000001</v>
      </c>
      <c r="G188" s="34">
        <f t="shared" si="11"/>
        <v>45581</v>
      </c>
      <c r="H188" s="2">
        <f t="shared" si="10"/>
        <v>1394.0170000000001</v>
      </c>
    </row>
    <row r="189" spans="1:8" ht="15" customHeight="1" x14ac:dyDescent="0.3">
      <c r="A189" s="41" t="s">
        <v>374</v>
      </c>
      <c r="B189" s="2">
        <v>1692.3679999999999</v>
      </c>
      <c r="D189" s="35">
        <f t="shared" si="12"/>
        <v>45501</v>
      </c>
      <c r="E189" s="2">
        <v>1692.3679999999999</v>
      </c>
      <c r="G189" s="34">
        <f t="shared" si="11"/>
        <v>45582</v>
      </c>
      <c r="H189" s="2">
        <f t="shared" si="10"/>
        <v>1394.0170000000001</v>
      </c>
    </row>
    <row r="190" spans="1:8" ht="15" customHeight="1" x14ac:dyDescent="0.3">
      <c r="A190" s="41" t="s">
        <v>375</v>
      </c>
      <c r="B190" s="2">
        <v>1698.07</v>
      </c>
      <c r="D190" s="35">
        <f t="shared" si="12"/>
        <v>45508</v>
      </c>
      <c r="E190" s="2">
        <v>1698.07</v>
      </c>
      <c r="G190" s="34">
        <f t="shared" si="11"/>
        <v>45583</v>
      </c>
      <c r="H190" s="2">
        <f t="shared" si="10"/>
        <v>1394.0170000000001</v>
      </c>
    </row>
    <row r="191" spans="1:8" ht="15" customHeight="1" x14ac:dyDescent="0.3">
      <c r="A191" s="41" t="s">
        <v>376</v>
      </c>
      <c r="B191" s="2">
        <v>1702.809</v>
      </c>
      <c r="D191" s="35">
        <f t="shared" si="12"/>
        <v>45515</v>
      </c>
      <c r="E191" s="2">
        <v>1702.809</v>
      </c>
      <c r="G191" s="34">
        <f t="shared" si="11"/>
        <v>45584</v>
      </c>
      <c r="H191" s="2">
        <f t="shared" si="10"/>
        <v>1394.0170000000001</v>
      </c>
    </row>
    <row r="192" spans="1:8" ht="15" customHeight="1" x14ac:dyDescent="0.3">
      <c r="A192" s="41" t="s">
        <v>377</v>
      </c>
      <c r="B192" s="2">
        <v>1509.99</v>
      </c>
      <c r="D192" s="35">
        <f t="shared" si="12"/>
        <v>45522</v>
      </c>
      <c r="E192" s="2">
        <v>1509.99</v>
      </c>
      <c r="G192" s="34">
        <f t="shared" si="11"/>
        <v>45585</v>
      </c>
      <c r="H192" s="2">
        <f t="shared" si="10"/>
        <v>1616.0650000000001</v>
      </c>
    </row>
    <row r="193" spans="1:8" ht="15" customHeight="1" x14ac:dyDescent="0.3">
      <c r="A193" s="41" t="s">
        <v>378</v>
      </c>
      <c r="B193" s="2">
        <v>1398.7570000000001</v>
      </c>
      <c r="D193" s="35">
        <f t="shared" si="12"/>
        <v>45529</v>
      </c>
      <c r="E193" s="2">
        <v>1398.7570000000001</v>
      </c>
      <c r="G193" s="34">
        <f t="shared" si="11"/>
        <v>45586</v>
      </c>
      <c r="H193" s="2">
        <f t="shared" si="10"/>
        <v>1616.0650000000001</v>
      </c>
    </row>
    <row r="194" spans="1:8" ht="15" customHeight="1" x14ac:dyDescent="0.3">
      <c r="A194" s="41" t="s">
        <v>379</v>
      </c>
      <c r="B194" s="2">
        <v>1505.7750000000001</v>
      </c>
      <c r="D194" s="35">
        <f t="shared" si="12"/>
        <v>45536</v>
      </c>
      <c r="E194" s="2">
        <v>1505.7750000000001</v>
      </c>
      <c r="G194" s="34">
        <f t="shared" si="11"/>
        <v>45587</v>
      </c>
      <c r="H194" s="2">
        <f t="shared" si="10"/>
        <v>1616.0650000000001</v>
      </c>
    </row>
    <row r="195" spans="1:8" ht="15" customHeight="1" x14ac:dyDescent="0.3">
      <c r="A195" s="41" t="s">
        <v>380</v>
      </c>
      <c r="B195" s="2">
        <v>1343.2380000000001</v>
      </c>
      <c r="D195" s="35">
        <f t="shared" si="12"/>
        <v>45543</v>
      </c>
      <c r="E195" s="2">
        <v>1343.2380000000001</v>
      </c>
      <c r="G195" s="34">
        <f t="shared" si="11"/>
        <v>45588</v>
      </c>
      <c r="H195" s="2">
        <f t="shared" ref="H195:H258" si="13">LOOKUP(G195,D:D,E:E)</f>
        <v>1616.0650000000001</v>
      </c>
    </row>
    <row r="196" spans="1:8" ht="15" customHeight="1" x14ac:dyDescent="0.3">
      <c r="A196" s="41" t="s">
        <v>381</v>
      </c>
      <c r="B196" s="2">
        <v>1516.847</v>
      </c>
      <c r="D196" s="35">
        <f t="shared" si="12"/>
        <v>45550</v>
      </c>
      <c r="E196" s="2">
        <v>1516.847</v>
      </c>
      <c r="G196" s="34">
        <f t="shared" ref="G196:G259" si="14">G195+1</f>
        <v>45589</v>
      </c>
      <c r="H196" s="2">
        <f t="shared" si="13"/>
        <v>1616.0650000000001</v>
      </c>
    </row>
    <row r="197" spans="1:8" ht="15" customHeight="1" x14ac:dyDescent="0.3">
      <c r="A197" s="41" t="s">
        <v>382</v>
      </c>
      <c r="B197" s="2">
        <v>1335.9949999999999</v>
      </c>
      <c r="D197" s="35">
        <f t="shared" si="12"/>
        <v>45557</v>
      </c>
      <c r="E197" s="2">
        <v>1335.9949999999999</v>
      </c>
      <c r="G197" s="34">
        <f t="shared" si="14"/>
        <v>45590</v>
      </c>
      <c r="H197" s="2">
        <f t="shared" si="13"/>
        <v>1616.0650000000001</v>
      </c>
    </row>
    <row r="198" spans="1:8" ht="15" customHeight="1" x14ac:dyDescent="0.3">
      <c r="A198" s="41" t="s">
        <v>383</v>
      </c>
      <c r="B198" s="2">
        <v>1305.066</v>
      </c>
      <c r="D198" s="35">
        <f t="shared" si="12"/>
        <v>45564</v>
      </c>
      <c r="E198" s="2">
        <v>1305.066</v>
      </c>
      <c r="G198" s="34">
        <f t="shared" si="14"/>
        <v>45591</v>
      </c>
      <c r="H198" s="2">
        <f t="shared" si="13"/>
        <v>1616.0650000000001</v>
      </c>
    </row>
    <row r="199" spans="1:8" ht="15" customHeight="1" x14ac:dyDescent="0.3">
      <c r="A199" s="41" t="s">
        <v>384</v>
      </c>
      <c r="B199" s="2">
        <v>1333.9459999999999</v>
      </c>
      <c r="D199" s="35">
        <f t="shared" si="12"/>
        <v>45571</v>
      </c>
      <c r="E199" s="2">
        <v>1333.9459999999999</v>
      </c>
      <c r="G199" s="34">
        <f t="shared" si="14"/>
        <v>45592</v>
      </c>
      <c r="H199" s="2">
        <f t="shared" si="13"/>
        <v>1380.259</v>
      </c>
    </row>
    <row r="200" spans="1:8" ht="15" customHeight="1" x14ac:dyDescent="0.3">
      <c r="A200" s="41" t="s">
        <v>385</v>
      </c>
      <c r="B200" s="2">
        <v>1394.0170000000001</v>
      </c>
      <c r="D200" s="35">
        <f t="shared" si="12"/>
        <v>45578</v>
      </c>
      <c r="E200" s="2">
        <v>1394.0170000000001</v>
      </c>
      <c r="G200" s="34">
        <f t="shared" si="14"/>
        <v>45593</v>
      </c>
      <c r="H200" s="2">
        <f t="shared" si="13"/>
        <v>1380.259</v>
      </c>
    </row>
    <row r="201" spans="1:8" ht="15" customHeight="1" x14ac:dyDescent="0.3">
      <c r="A201" s="41" t="s">
        <v>386</v>
      </c>
      <c r="B201" s="2">
        <v>1616.0650000000001</v>
      </c>
      <c r="D201" s="35">
        <f t="shared" si="12"/>
        <v>45585</v>
      </c>
      <c r="E201" s="2">
        <v>1616.0650000000001</v>
      </c>
      <c r="G201" s="34">
        <f t="shared" si="14"/>
        <v>45594</v>
      </c>
      <c r="H201" s="2">
        <f t="shared" si="13"/>
        <v>1380.259</v>
      </c>
    </row>
    <row r="202" spans="1:8" ht="15" customHeight="1" x14ac:dyDescent="0.3">
      <c r="A202" s="41" t="s">
        <v>387</v>
      </c>
      <c r="B202" s="2">
        <v>1380.259</v>
      </c>
      <c r="D202" s="35">
        <f t="shared" si="12"/>
        <v>45592</v>
      </c>
      <c r="E202" s="2">
        <v>1380.259</v>
      </c>
      <c r="G202" s="34">
        <f t="shared" si="14"/>
        <v>45595</v>
      </c>
      <c r="H202" s="2">
        <f t="shared" si="13"/>
        <v>1380.259</v>
      </c>
    </row>
    <row r="203" spans="1:8" ht="15" customHeight="1" x14ac:dyDescent="0.3">
      <c r="A203" s="41" t="s">
        <v>388</v>
      </c>
      <c r="B203" s="2">
        <v>1457.806</v>
      </c>
      <c r="D203" s="35">
        <f t="shared" si="12"/>
        <v>45599</v>
      </c>
      <c r="E203" s="2">
        <v>1457.806</v>
      </c>
      <c r="G203" s="34">
        <f t="shared" si="14"/>
        <v>45596</v>
      </c>
      <c r="H203" s="2">
        <f t="shared" si="13"/>
        <v>1380.259</v>
      </c>
    </row>
    <row r="204" spans="1:8" ht="15" customHeight="1" x14ac:dyDescent="0.3">
      <c r="A204" s="41" t="s">
        <v>389</v>
      </c>
      <c r="B204" s="2">
        <v>1544.328</v>
      </c>
      <c r="D204" s="35">
        <f t="shared" si="12"/>
        <v>45606</v>
      </c>
      <c r="E204" s="2">
        <v>1544.328</v>
      </c>
      <c r="G204" s="34">
        <f t="shared" si="14"/>
        <v>45597</v>
      </c>
      <c r="H204" s="2">
        <f t="shared" si="13"/>
        <v>1380.259</v>
      </c>
    </row>
    <row r="205" spans="1:8" ht="15" customHeight="1" x14ac:dyDescent="0.3">
      <c r="A205" s="41" t="s">
        <v>390</v>
      </c>
      <c r="B205" s="2">
        <v>1424.24</v>
      </c>
      <c r="D205" s="35">
        <f t="shared" si="12"/>
        <v>45613</v>
      </c>
      <c r="E205" s="2">
        <v>1424.24</v>
      </c>
      <c r="G205" s="34">
        <f t="shared" si="14"/>
        <v>45598</v>
      </c>
      <c r="H205" s="2">
        <f t="shared" si="13"/>
        <v>1380.259</v>
      </c>
    </row>
    <row r="206" spans="1:8" ht="15" customHeight="1" x14ac:dyDescent="0.3">
      <c r="A206" s="41" t="s">
        <v>391</v>
      </c>
      <c r="B206" s="2">
        <v>1363.9490000000001</v>
      </c>
      <c r="D206" s="35">
        <f t="shared" si="12"/>
        <v>45620</v>
      </c>
      <c r="E206" s="2">
        <v>1363.9490000000001</v>
      </c>
      <c r="G206" s="34">
        <f t="shared" si="14"/>
        <v>45599</v>
      </c>
      <c r="H206" s="2">
        <f t="shared" si="13"/>
        <v>1457.806</v>
      </c>
    </row>
    <row r="207" spans="1:8" ht="15" customHeight="1" x14ac:dyDescent="0.3">
      <c r="A207" s="41" t="s">
        <v>392</v>
      </c>
      <c r="B207" s="2">
        <v>1585.2929999999999</v>
      </c>
      <c r="D207" s="35">
        <f t="shared" si="12"/>
        <v>45627</v>
      </c>
      <c r="E207" s="2">
        <v>1585.2929999999999</v>
      </c>
      <c r="G207" s="34">
        <f t="shared" si="14"/>
        <v>45600</v>
      </c>
      <c r="H207" s="2">
        <f t="shared" si="13"/>
        <v>1457.806</v>
      </c>
    </row>
    <row r="208" spans="1:8" ht="15" customHeight="1" x14ac:dyDescent="0.3">
      <c r="A208" s="41" t="s">
        <v>393</v>
      </c>
      <c r="B208" s="2">
        <v>1741.2329999999999</v>
      </c>
      <c r="D208" s="35">
        <f t="shared" si="12"/>
        <v>45634</v>
      </c>
      <c r="E208" s="2">
        <v>1741.2329999999999</v>
      </c>
      <c r="G208" s="34">
        <f t="shared" si="14"/>
        <v>45601</v>
      </c>
      <c r="H208" s="2">
        <f t="shared" si="13"/>
        <v>1457.806</v>
      </c>
    </row>
    <row r="209" spans="1:8" ht="15" customHeight="1" x14ac:dyDescent="0.3">
      <c r="A209" s="41" t="s">
        <v>394</v>
      </c>
      <c r="B209" s="2">
        <v>1731.326</v>
      </c>
      <c r="D209" s="35">
        <f t="shared" si="12"/>
        <v>45641</v>
      </c>
      <c r="E209" s="2">
        <v>1731.326</v>
      </c>
      <c r="G209" s="34">
        <f t="shared" si="14"/>
        <v>45602</v>
      </c>
      <c r="H209" s="2">
        <f t="shared" si="13"/>
        <v>1457.806</v>
      </c>
    </row>
    <row r="210" spans="1:8" ht="15" customHeight="1" x14ac:dyDescent="0.3">
      <c r="A210" s="41" t="s">
        <v>395</v>
      </c>
      <c r="B210" s="2">
        <v>1588.9179999999999</v>
      </c>
      <c r="D210" s="35">
        <f t="shared" si="12"/>
        <v>45648</v>
      </c>
      <c r="E210" s="2">
        <v>1588.9179999999999</v>
      </c>
      <c r="G210" s="34">
        <f t="shared" si="14"/>
        <v>45603</v>
      </c>
      <c r="H210" s="2">
        <f t="shared" si="13"/>
        <v>1457.806</v>
      </c>
    </row>
    <row r="211" spans="1:8" ht="15" customHeight="1" x14ac:dyDescent="0.3">
      <c r="A211" s="41" t="s">
        <v>396</v>
      </c>
      <c r="B211" s="2">
        <v>1566.25</v>
      </c>
      <c r="D211" s="35">
        <f t="shared" si="12"/>
        <v>45655</v>
      </c>
      <c r="E211" s="2">
        <v>1566.25</v>
      </c>
      <c r="G211" s="34">
        <f t="shared" si="14"/>
        <v>45604</v>
      </c>
      <c r="H211" s="2">
        <f t="shared" si="13"/>
        <v>1457.806</v>
      </c>
    </row>
    <row r="212" spans="1:8" ht="15" customHeight="1" x14ac:dyDescent="0.3">
      <c r="A212" s="41" t="s">
        <v>397</v>
      </c>
      <c r="B212" s="2">
        <v>1481.846</v>
      </c>
      <c r="D212" s="35">
        <f t="shared" si="12"/>
        <v>45662</v>
      </c>
      <c r="E212" s="2">
        <v>1481.846</v>
      </c>
      <c r="G212" s="34">
        <f t="shared" si="14"/>
        <v>45605</v>
      </c>
      <c r="H212" s="2">
        <f t="shared" si="13"/>
        <v>1457.806</v>
      </c>
    </row>
    <row r="213" spans="1:8" ht="15" customHeight="1" x14ac:dyDescent="0.3">
      <c r="A213" s="41" t="s">
        <v>398</v>
      </c>
      <c r="B213" s="2">
        <v>1617.8520000000001</v>
      </c>
      <c r="D213" s="35">
        <f t="shared" si="12"/>
        <v>45669</v>
      </c>
      <c r="E213" s="2">
        <v>1617.8520000000001</v>
      </c>
      <c r="G213" s="34">
        <f t="shared" si="14"/>
        <v>45606</v>
      </c>
      <c r="H213" s="2">
        <f t="shared" si="13"/>
        <v>1544.328</v>
      </c>
    </row>
    <row r="214" spans="1:8" ht="15" customHeight="1" x14ac:dyDescent="0.3">
      <c r="A214" s="41" t="s">
        <v>399</v>
      </c>
      <c r="B214" s="2">
        <v>1478.568</v>
      </c>
      <c r="D214" s="35">
        <f t="shared" si="12"/>
        <v>45676</v>
      </c>
      <c r="E214" s="2">
        <v>1478.568</v>
      </c>
      <c r="G214" s="34">
        <f t="shared" si="14"/>
        <v>45607</v>
      </c>
      <c r="H214" s="2">
        <f t="shared" si="13"/>
        <v>1544.328</v>
      </c>
    </row>
    <row r="215" spans="1:8" ht="15" customHeight="1" x14ac:dyDescent="0.3">
      <c r="A215" s="41" t="s">
        <v>400</v>
      </c>
      <c r="B215" s="2">
        <v>1685.12</v>
      </c>
      <c r="D215" s="35">
        <f t="shared" si="12"/>
        <v>45683</v>
      </c>
      <c r="E215" s="2">
        <v>1685.12</v>
      </c>
      <c r="G215" s="34">
        <f t="shared" si="14"/>
        <v>45608</v>
      </c>
      <c r="H215" s="2">
        <f t="shared" si="13"/>
        <v>1544.328</v>
      </c>
    </row>
    <row r="216" spans="1:8" ht="15" customHeight="1" x14ac:dyDescent="0.3">
      <c r="A216" s="41" t="s">
        <v>401</v>
      </c>
      <c r="B216" s="2">
        <v>1521.047</v>
      </c>
      <c r="D216" s="35">
        <f t="shared" si="12"/>
        <v>45690</v>
      </c>
      <c r="E216" s="2">
        <v>1521.047</v>
      </c>
      <c r="G216" s="34">
        <f t="shared" si="14"/>
        <v>45609</v>
      </c>
      <c r="H216" s="2">
        <f t="shared" si="13"/>
        <v>1544.328</v>
      </c>
    </row>
    <row r="217" spans="1:8" ht="15" customHeight="1" x14ac:dyDescent="0.3">
      <c r="A217" s="41" t="s">
        <v>402</v>
      </c>
      <c r="B217" s="2">
        <v>1489.0329999999999</v>
      </c>
      <c r="D217" s="35">
        <f t="shared" si="12"/>
        <v>45697</v>
      </c>
      <c r="E217" s="2">
        <v>1489.0329999999999</v>
      </c>
      <c r="G217" s="34">
        <f t="shared" si="14"/>
        <v>45610</v>
      </c>
      <c r="H217" s="2">
        <f t="shared" si="13"/>
        <v>1544.328</v>
      </c>
    </row>
    <row r="218" spans="1:8" ht="15" customHeight="1" x14ac:dyDescent="0.3">
      <c r="A218" s="41" t="s">
        <v>403</v>
      </c>
      <c r="B218" s="2">
        <v>1509.5609999999999</v>
      </c>
      <c r="D218" s="35">
        <f t="shared" si="12"/>
        <v>45704</v>
      </c>
      <c r="E218" s="2">
        <v>1509.5609999999999</v>
      </c>
      <c r="G218" s="34">
        <f t="shared" si="14"/>
        <v>45611</v>
      </c>
      <c r="H218" s="2">
        <f t="shared" si="13"/>
        <v>1544.328</v>
      </c>
    </row>
    <row r="219" spans="1:8" ht="15" customHeight="1" x14ac:dyDescent="0.3">
      <c r="A219" s="41" t="s">
        <v>404</v>
      </c>
      <c r="B219" s="2">
        <v>1408.5530000000001</v>
      </c>
      <c r="D219" s="35">
        <f t="shared" si="12"/>
        <v>45711</v>
      </c>
      <c r="E219" s="2">
        <v>1408.5530000000001</v>
      </c>
      <c r="G219" s="34">
        <f t="shared" si="14"/>
        <v>45612</v>
      </c>
      <c r="H219" s="2">
        <f t="shared" si="13"/>
        <v>1544.328</v>
      </c>
    </row>
    <row r="220" spans="1:8" ht="15" customHeight="1" x14ac:dyDescent="0.3">
      <c r="A220" s="41" t="s">
        <v>405</v>
      </c>
      <c r="B220" s="2">
        <v>1085.8530000000001</v>
      </c>
      <c r="D220" s="35">
        <f t="shared" si="12"/>
        <v>45718</v>
      </c>
      <c r="E220" s="2">
        <v>1085.8530000000001</v>
      </c>
      <c r="G220" s="34">
        <f t="shared" si="14"/>
        <v>45613</v>
      </c>
      <c r="H220" s="2">
        <f t="shared" si="13"/>
        <v>1424.24</v>
      </c>
    </row>
    <row r="221" spans="1:8" ht="15" customHeight="1" x14ac:dyDescent="0.3">
      <c r="A221" s="41" t="s">
        <v>406</v>
      </c>
      <c r="B221" s="2">
        <v>1470.8430000000001</v>
      </c>
      <c r="D221" s="35">
        <f t="shared" si="12"/>
        <v>45725</v>
      </c>
      <c r="E221" s="2">
        <v>1470.8430000000001</v>
      </c>
      <c r="G221" s="34">
        <f t="shared" si="14"/>
        <v>45614</v>
      </c>
      <c r="H221" s="2">
        <f t="shared" si="13"/>
        <v>1424.24</v>
      </c>
    </row>
    <row r="222" spans="1:8" ht="15" customHeight="1" x14ac:dyDescent="0.3">
      <c r="A222" s="41" t="s">
        <v>407</v>
      </c>
      <c r="B222" s="2">
        <v>1415.7650000000001</v>
      </c>
      <c r="D222" s="35">
        <f t="shared" si="12"/>
        <v>45732</v>
      </c>
      <c r="E222" s="2">
        <v>1415.7650000000001</v>
      </c>
      <c r="G222" s="34">
        <f t="shared" si="14"/>
        <v>45615</v>
      </c>
      <c r="H222" s="2">
        <f t="shared" si="13"/>
        <v>1424.24</v>
      </c>
    </row>
    <row r="223" spans="1:8" ht="15" customHeight="1" x14ac:dyDescent="0.3">
      <c r="A223" s="41" t="s">
        <v>408</v>
      </c>
      <c r="B223" s="2">
        <v>1454.1880000000001</v>
      </c>
      <c r="D223" s="35">
        <f t="shared" si="12"/>
        <v>45739</v>
      </c>
      <c r="E223" s="2">
        <v>1454.1880000000001</v>
      </c>
      <c r="G223" s="34">
        <f t="shared" si="14"/>
        <v>45616</v>
      </c>
      <c r="H223" s="2">
        <f t="shared" si="13"/>
        <v>1424.24</v>
      </c>
    </row>
    <row r="224" spans="1:8" ht="15" customHeight="1" x14ac:dyDescent="0.3">
      <c r="A224" s="41" t="s">
        <v>409</v>
      </c>
      <c r="B224" s="2">
        <v>1497.973</v>
      </c>
      <c r="D224" s="35">
        <f t="shared" si="12"/>
        <v>45746</v>
      </c>
      <c r="E224" s="2">
        <v>1497.973</v>
      </c>
      <c r="G224" s="34">
        <f t="shared" si="14"/>
        <v>45617</v>
      </c>
      <c r="H224" s="2">
        <f t="shared" si="13"/>
        <v>1424.24</v>
      </c>
    </row>
    <row r="225" spans="1:8" ht="15" customHeight="1" x14ac:dyDescent="0.3">
      <c r="A225" s="41" t="s">
        <v>410</v>
      </c>
      <c r="B225" s="2">
        <v>1386.8420000000001</v>
      </c>
      <c r="D225" s="35">
        <f t="shared" si="12"/>
        <v>45753</v>
      </c>
      <c r="E225" s="2">
        <v>1386.8420000000001</v>
      </c>
      <c r="G225" s="34">
        <f t="shared" si="14"/>
        <v>45618</v>
      </c>
      <c r="H225" s="2">
        <f t="shared" si="13"/>
        <v>1424.24</v>
      </c>
    </row>
    <row r="226" spans="1:8" ht="15" customHeight="1" x14ac:dyDescent="0.3">
      <c r="A226" s="41" t="s">
        <v>411</v>
      </c>
      <c r="B226" s="2">
        <v>1510.326</v>
      </c>
      <c r="D226" s="35">
        <f t="shared" si="12"/>
        <v>45760</v>
      </c>
      <c r="E226" s="2">
        <v>1510.326</v>
      </c>
      <c r="G226" s="34">
        <f t="shared" si="14"/>
        <v>45619</v>
      </c>
      <c r="H226" s="2">
        <f t="shared" si="13"/>
        <v>1424.24</v>
      </c>
    </row>
    <row r="227" spans="1:8" ht="15" customHeight="1" x14ac:dyDescent="0.3">
      <c r="A227" s="41" t="s">
        <v>412</v>
      </c>
      <c r="B227" s="2">
        <v>1292.9359999999999</v>
      </c>
      <c r="D227" s="35">
        <f t="shared" si="12"/>
        <v>45767</v>
      </c>
      <c r="E227" s="2">
        <v>1292.9359999999999</v>
      </c>
      <c r="G227" s="34">
        <f t="shared" si="14"/>
        <v>45620</v>
      </c>
      <c r="H227" s="2">
        <f t="shared" si="13"/>
        <v>1363.9490000000001</v>
      </c>
    </row>
    <row r="228" spans="1:8" ht="15" customHeight="1" x14ac:dyDescent="0.3">
      <c r="A228" s="41" t="s">
        <v>413</v>
      </c>
      <c r="B228" s="2">
        <v>1086.8420000000001</v>
      </c>
      <c r="D228" s="35">
        <f t="shared" ref="D228:D279" si="15">D227+7</f>
        <v>45774</v>
      </c>
      <c r="E228" s="2">
        <v>1086.8420000000001</v>
      </c>
      <c r="G228" s="34">
        <f t="shared" si="14"/>
        <v>45621</v>
      </c>
      <c r="H228" s="2">
        <f t="shared" si="13"/>
        <v>1363.9490000000001</v>
      </c>
    </row>
    <row r="229" spans="1:8" ht="15" customHeight="1" x14ac:dyDescent="0.3">
      <c r="A229" s="41" t="s">
        <v>414</v>
      </c>
      <c r="B229" s="2">
        <v>1094.45</v>
      </c>
      <c r="D229" s="35">
        <f t="shared" si="15"/>
        <v>45781</v>
      </c>
      <c r="E229" s="2">
        <v>1094.45</v>
      </c>
      <c r="G229" s="34">
        <f t="shared" si="14"/>
        <v>45622</v>
      </c>
      <c r="H229" s="2">
        <f t="shared" si="13"/>
        <v>1363.9490000000001</v>
      </c>
    </row>
    <row r="230" spans="1:8" ht="15" customHeight="1" x14ac:dyDescent="0.3">
      <c r="A230" s="41" t="s">
        <v>415</v>
      </c>
      <c r="B230" s="2">
        <v>964.78899999999999</v>
      </c>
      <c r="D230" s="35">
        <f t="shared" si="15"/>
        <v>45788</v>
      </c>
      <c r="E230" s="2">
        <v>964.78899999999999</v>
      </c>
      <c r="G230" s="34">
        <f t="shared" si="14"/>
        <v>45623</v>
      </c>
      <c r="H230" s="2">
        <f t="shared" si="13"/>
        <v>1363.9490000000001</v>
      </c>
    </row>
    <row r="231" spans="1:8" ht="15" customHeight="1" x14ac:dyDescent="0.3">
      <c r="A231" s="41" t="s">
        <v>416</v>
      </c>
      <c r="B231" s="2">
        <v>1262.672</v>
      </c>
      <c r="D231" s="35">
        <f t="shared" si="15"/>
        <v>45795</v>
      </c>
      <c r="E231" s="2">
        <v>1262.672</v>
      </c>
      <c r="G231" s="34">
        <f t="shared" si="14"/>
        <v>45624</v>
      </c>
      <c r="H231" s="2">
        <f t="shared" si="13"/>
        <v>1363.9490000000001</v>
      </c>
    </row>
    <row r="232" spans="1:8" ht="15" customHeight="1" x14ac:dyDescent="0.3">
      <c r="A232" s="41" t="s">
        <v>417</v>
      </c>
      <c r="B232" s="2">
        <v>1066.117</v>
      </c>
      <c r="D232" s="35">
        <f t="shared" si="15"/>
        <v>45802</v>
      </c>
      <c r="E232" s="2">
        <v>1066.117</v>
      </c>
      <c r="G232" s="34">
        <f t="shared" si="14"/>
        <v>45625</v>
      </c>
      <c r="H232" s="2">
        <f t="shared" si="13"/>
        <v>1363.9490000000001</v>
      </c>
    </row>
    <row r="233" spans="1:8" ht="15" customHeight="1" x14ac:dyDescent="0.3">
      <c r="A233" s="41" t="s">
        <v>418</v>
      </c>
      <c r="B233" s="2">
        <v>986.44100000000003</v>
      </c>
      <c r="D233" s="35">
        <f t="shared" si="15"/>
        <v>45809</v>
      </c>
      <c r="E233" s="2">
        <v>986.44100000000003</v>
      </c>
      <c r="G233" s="34">
        <f t="shared" si="14"/>
        <v>45626</v>
      </c>
      <c r="H233" s="2">
        <f t="shared" si="13"/>
        <v>1363.9490000000001</v>
      </c>
    </row>
    <row r="234" spans="1:8" ht="15" customHeight="1" x14ac:dyDescent="0.3">
      <c r="A234" s="41" t="s">
        <v>419</v>
      </c>
      <c r="B234" s="2">
        <v>1120.7950000000001</v>
      </c>
      <c r="D234" s="35">
        <f t="shared" si="15"/>
        <v>45816</v>
      </c>
      <c r="E234" s="2">
        <v>1120.7950000000001</v>
      </c>
      <c r="G234" s="34">
        <f t="shared" si="14"/>
        <v>45627</v>
      </c>
      <c r="H234" s="2">
        <f t="shared" si="13"/>
        <v>1585.2929999999999</v>
      </c>
    </row>
    <row r="235" spans="1:8" ht="15" customHeight="1" x14ac:dyDescent="0.3">
      <c r="A235" s="41" t="s">
        <v>420</v>
      </c>
      <c r="B235" s="2">
        <v>1376.15</v>
      </c>
      <c r="D235" s="35">
        <f t="shared" si="15"/>
        <v>45823</v>
      </c>
      <c r="E235" s="2">
        <v>1376.15</v>
      </c>
      <c r="G235" s="34">
        <f t="shared" si="14"/>
        <v>45628</v>
      </c>
      <c r="H235" s="2">
        <f t="shared" si="13"/>
        <v>1585.2929999999999</v>
      </c>
    </row>
    <row r="236" spans="1:8" ht="15" customHeight="1" x14ac:dyDescent="0.3">
      <c r="A236" s="41" t="s">
        <v>421</v>
      </c>
      <c r="B236" s="2">
        <v>1277.046</v>
      </c>
      <c r="D236" s="35">
        <f t="shared" si="15"/>
        <v>45830</v>
      </c>
      <c r="E236" s="2">
        <v>1277.046</v>
      </c>
      <c r="G236" s="34">
        <f t="shared" si="14"/>
        <v>45629</v>
      </c>
      <c r="H236" s="2">
        <f t="shared" si="13"/>
        <v>1585.2929999999999</v>
      </c>
    </row>
    <row r="237" spans="1:8" ht="15" customHeight="1" x14ac:dyDescent="0.3">
      <c r="A237" s="41" t="s">
        <v>422</v>
      </c>
      <c r="B237" s="2">
        <v>1092.712</v>
      </c>
      <c r="D237" s="35">
        <f t="shared" si="15"/>
        <v>45837</v>
      </c>
      <c r="E237" s="2">
        <v>1092.712</v>
      </c>
      <c r="G237" s="34">
        <f t="shared" si="14"/>
        <v>45630</v>
      </c>
      <c r="H237" s="2">
        <f t="shared" si="13"/>
        <v>1585.2929999999999</v>
      </c>
    </row>
    <row r="238" spans="1:8" ht="15" customHeight="1" x14ac:dyDescent="0.3">
      <c r="A238" s="41" t="s">
        <v>423</v>
      </c>
      <c r="B238" s="2">
        <v>1257.799</v>
      </c>
      <c r="D238" s="35">
        <f t="shared" si="15"/>
        <v>45844</v>
      </c>
      <c r="E238" s="2">
        <v>1257.799</v>
      </c>
      <c r="G238" s="34">
        <f t="shared" si="14"/>
        <v>45631</v>
      </c>
      <c r="H238" s="2">
        <f t="shared" si="13"/>
        <v>1585.2929999999999</v>
      </c>
    </row>
    <row r="239" spans="1:8" ht="15" customHeight="1" x14ac:dyDescent="0.3">
      <c r="A239" s="41" t="s">
        <v>424</v>
      </c>
      <c r="B239" s="2">
        <v>1147.011</v>
      </c>
      <c r="D239" s="35">
        <f t="shared" si="15"/>
        <v>45851</v>
      </c>
      <c r="E239" s="2">
        <v>1147.011</v>
      </c>
      <c r="G239" s="34">
        <f t="shared" si="14"/>
        <v>45632</v>
      </c>
      <c r="H239" s="2">
        <f t="shared" si="13"/>
        <v>1585.2929999999999</v>
      </c>
    </row>
    <row r="240" spans="1:8" ht="15" customHeight="1" x14ac:dyDescent="0.3">
      <c r="A240" s="41" t="s">
        <v>425</v>
      </c>
      <c r="B240" s="2">
        <v>1281.2760000000001</v>
      </c>
      <c r="D240" s="35">
        <f t="shared" si="15"/>
        <v>45858</v>
      </c>
      <c r="E240" s="2">
        <v>1281.2760000000001</v>
      </c>
      <c r="G240" s="34">
        <f t="shared" si="14"/>
        <v>45633</v>
      </c>
      <c r="H240" s="2">
        <f t="shared" si="13"/>
        <v>1585.2929999999999</v>
      </c>
    </row>
    <row r="241" spans="1:8" ht="15" customHeight="1" x14ac:dyDescent="0.3">
      <c r="A241" s="41" t="s">
        <v>426</v>
      </c>
      <c r="B241" s="2">
        <v>1137.203</v>
      </c>
      <c r="D241" s="35">
        <f t="shared" si="15"/>
        <v>45865</v>
      </c>
      <c r="E241" s="2">
        <v>1137.203</v>
      </c>
      <c r="G241" s="34">
        <f t="shared" si="14"/>
        <v>45634</v>
      </c>
      <c r="H241" s="2">
        <f t="shared" si="13"/>
        <v>1741.2329999999999</v>
      </c>
    </row>
    <row r="242" spans="1:8" ht="15" customHeight="1" x14ac:dyDescent="0.3">
      <c r="A242" s="41" t="s">
        <v>427</v>
      </c>
      <c r="B242" s="2">
        <v>1115.048</v>
      </c>
      <c r="D242" s="35">
        <f t="shared" si="15"/>
        <v>45872</v>
      </c>
      <c r="E242" s="2">
        <v>1115.048</v>
      </c>
      <c r="G242" s="34">
        <f t="shared" si="14"/>
        <v>45635</v>
      </c>
      <c r="H242" s="2">
        <f t="shared" si="13"/>
        <v>1741.2329999999999</v>
      </c>
    </row>
    <row r="243" spans="1:8" ht="15" customHeight="1" x14ac:dyDescent="0.3">
      <c r="A243" s="41" t="s">
        <v>428</v>
      </c>
      <c r="B243" s="2">
        <v>1235.0820000000001</v>
      </c>
      <c r="D243" s="35">
        <f t="shared" si="15"/>
        <v>45879</v>
      </c>
      <c r="E243" s="2">
        <v>1235.0820000000001</v>
      </c>
      <c r="G243" s="34">
        <f t="shared" si="14"/>
        <v>45636</v>
      </c>
      <c r="H243" s="2">
        <f t="shared" si="13"/>
        <v>1741.2329999999999</v>
      </c>
    </row>
    <row r="244" spans="1:8" ht="15" customHeight="1" x14ac:dyDescent="0.3">
      <c r="A244" s="41" t="s">
        <v>429</v>
      </c>
      <c r="B244" s="2">
        <v>1088.127</v>
      </c>
      <c r="D244" s="35">
        <f t="shared" si="15"/>
        <v>45886</v>
      </c>
      <c r="E244" s="2">
        <v>1088.127</v>
      </c>
      <c r="G244" s="34">
        <f t="shared" si="14"/>
        <v>45637</v>
      </c>
      <c r="H244" s="2">
        <f t="shared" si="13"/>
        <v>1741.2329999999999</v>
      </c>
    </row>
    <row r="245" spans="1:8" ht="15" customHeight="1" x14ac:dyDescent="0.3">
      <c r="A245" s="41" t="s">
        <v>430</v>
      </c>
      <c r="B245" s="2">
        <v>1344.9459999999999</v>
      </c>
      <c r="D245" s="35">
        <f t="shared" si="15"/>
        <v>45893</v>
      </c>
      <c r="E245" s="2">
        <v>1344.9459999999999</v>
      </c>
      <c r="G245" s="34">
        <f t="shared" si="14"/>
        <v>45638</v>
      </c>
      <c r="H245" s="2">
        <f t="shared" si="13"/>
        <v>1741.2329999999999</v>
      </c>
    </row>
    <row r="246" spans="1:8" ht="15" customHeight="1" x14ac:dyDescent="0.3">
      <c r="A246" s="41" t="s">
        <v>431</v>
      </c>
      <c r="B246" s="2">
        <v>1471.7439999999999</v>
      </c>
      <c r="D246" s="35">
        <f t="shared" si="15"/>
        <v>45900</v>
      </c>
      <c r="E246" s="2">
        <v>1471.7439999999999</v>
      </c>
      <c r="G246" s="34">
        <f t="shared" si="14"/>
        <v>45639</v>
      </c>
      <c r="H246" s="2">
        <f t="shared" si="13"/>
        <v>1741.2329999999999</v>
      </c>
    </row>
    <row r="247" spans="1:8" ht="15" customHeight="1" x14ac:dyDescent="0.3">
      <c r="A247" s="41" t="s">
        <v>432</v>
      </c>
      <c r="B247" s="2">
        <v>1421.7929999999999</v>
      </c>
      <c r="D247" s="35">
        <f t="shared" si="15"/>
        <v>45907</v>
      </c>
      <c r="E247" s="2">
        <v>1421.7929999999999</v>
      </c>
      <c r="G247" s="34">
        <f t="shared" si="14"/>
        <v>45640</v>
      </c>
      <c r="H247" s="2">
        <f t="shared" si="13"/>
        <v>1741.2329999999999</v>
      </c>
    </row>
    <row r="248" spans="1:8" ht="15" customHeight="1" x14ac:dyDescent="0.3">
      <c r="A248" s="41" t="s">
        <v>433</v>
      </c>
      <c r="B248" s="2">
        <v>1480.998</v>
      </c>
      <c r="D248" s="35">
        <f t="shared" si="15"/>
        <v>45914</v>
      </c>
      <c r="E248" s="2">
        <v>1480.998</v>
      </c>
      <c r="G248" s="34">
        <f t="shared" si="14"/>
        <v>45641</v>
      </c>
      <c r="H248" s="2">
        <f t="shared" si="13"/>
        <v>1731.326</v>
      </c>
    </row>
    <row r="249" spans="1:8" ht="15" customHeight="1" x14ac:dyDescent="0.3">
      <c r="A249" s="41" t="s">
        <v>434</v>
      </c>
      <c r="B249" s="2">
        <v>1542.4079999999999</v>
      </c>
      <c r="D249" s="35">
        <f t="shared" si="15"/>
        <v>45921</v>
      </c>
      <c r="E249" s="2">
        <v>1542.4079999999999</v>
      </c>
      <c r="G249" s="34">
        <f t="shared" si="14"/>
        <v>45642</v>
      </c>
      <c r="H249" s="2">
        <f t="shared" si="13"/>
        <v>1731.326</v>
      </c>
    </row>
    <row r="250" spans="1:8" ht="15" customHeight="1" x14ac:dyDescent="0.3">
      <c r="A250" s="41" t="s">
        <v>435</v>
      </c>
      <c r="B250" s="2">
        <v>1431.896</v>
      </c>
      <c r="D250" s="35">
        <f t="shared" si="15"/>
        <v>45928</v>
      </c>
      <c r="E250" s="2">
        <v>1431.896</v>
      </c>
      <c r="G250" s="34">
        <f t="shared" si="14"/>
        <v>45643</v>
      </c>
      <c r="H250" s="2">
        <f t="shared" si="13"/>
        <v>1731.326</v>
      </c>
    </row>
    <row r="251" spans="1:8" ht="15" customHeight="1" x14ac:dyDescent="0.3">
      <c r="A251" s="41" t="s">
        <v>436</v>
      </c>
      <c r="B251" s="2">
        <v>1537.2739999999999</v>
      </c>
      <c r="D251" s="35">
        <f t="shared" si="15"/>
        <v>45935</v>
      </c>
      <c r="E251" s="2">
        <v>1537.2739999999999</v>
      </c>
      <c r="G251" s="34">
        <f t="shared" si="14"/>
        <v>45644</v>
      </c>
      <c r="H251" s="2">
        <f t="shared" si="13"/>
        <v>1731.326</v>
      </c>
    </row>
    <row r="252" spans="1:8" ht="15" customHeight="1" x14ac:dyDescent="0.3">
      <c r="A252" s="41" t="s">
        <v>437</v>
      </c>
      <c r="B252" s="2">
        <v>1216.729</v>
      </c>
      <c r="D252" s="35">
        <f t="shared" si="15"/>
        <v>45942</v>
      </c>
      <c r="E252" s="2">
        <v>1216.729</v>
      </c>
      <c r="G252" s="34">
        <f t="shared" si="14"/>
        <v>45645</v>
      </c>
      <c r="H252" s="2">
        <f t="shared" si="13"/>
        <v>1731.326</v>
      </c>
    </row>
    <row r="253" spans="1:8" ht="15" customHeight="1" x14ac:dyDescent="0.3">
      <c r="A253" s="41" t="s">
        <v>438</v>
      </c>
      <c r="B253" s="2">
        <v>1120.7950000000001</v>
      </c>
      <c r="D253" s="35">
        <f t="shared" si="15"/>
        <v>45949</v>
      </c>
      <c r="E253" s="2">
        <v>1120.7950000000001</v>
      </c>
      <c r="G253" s="34">
        <f t="shared" si="14"/>
        <v>45646</v>
      </c>
      <c r="H253" s="2">
        <f t="shared" si="13"/>
        <v>1731.326</v>
      </c>
    </row>
    <row r="254" spans="1:8" ht="15" customHeight="1" x14ac:dyDescent="0.3">
      <c r="A254" s="41" t="s">
        <v>439</v>
      </c>
      <c r="B254" s="2">
        <v>1053.31</v>
      </c>
      <c r="D254" s="35">
        <f t="shared" si="15"/>
        <v>45956</v>
      </c>
      <c r="E254" s="2">
        <v>1053.31</v>
      </c>
      <c r="G254" s="34">
        <f t="shared" si="14"/>
        <v>45647</v>
      </c>
      <c r="H254" s="2">
        <f t="shared" si="13"/>
        <v>1731.326</v>
      </c>
    </row>
    <row r="255" spans="1:8" ht="15" customHeight="1" x14ac:dyDescent="0.3">
      <c r="A255" s="41" t="s">
        <v>440</v>
      </c>
      <c r="B255" s="2">
        <v>922.26800000000003</v>
      </c>
      <c r="D255" s="35">
        <f t="shared" si="15"/>
        <v>45963</v>
      </c>
      <c r="E255" s="2">
        <v>922.26800000000003</v>
      </c>
      <c r="G255" s="34">
        <f t="shared" si="14"/>
        <v>45648</v>
      </c>
      <c r="H255" s="2">
        <f t="shared" si="13"/>
        <v>1588.9179999999999</v>
      </c>
    </row>
    <row r="256" spans="1:8" ht="15" customHeight="1" x14ac:dyDescent="0.3">
      <c r="A256" s="41" t="s">
        <v>441</v>
      </c>
      <c r="B256" s="2">
        <v>1239.9280000000001</v>
      </c>
      <c r="D256" s="35">
        <f t="shared" si="15"/>
        <v>45970</v>
      </c>
      <c r="E256" s="2">
        <v>1239.9280000000001</v>
      </c>
      <c r="G256" s="34">
        <f t="shared" si="14"/>
        <v>45649</v>
      </c>
      <c r="H256" s="2">
        <f t="shared" si="13"/>
        <v>1588.9179999999999</v>
      </c>
    </row>
    <row r="257" spans="1:8" ht="15" customHeight="1" x14ac:dyDescent="0.3">
      <c r="A257" s="41" t="s">
        <v>442</v>
      </c>
      <c r="B257" s="2">
        <v>1304.8</v>
      </c>
      <c r="D257" s="35">
        <f t="shared" si="15"/>
        <v>45977</v>
      </c>
      <c r="E257" s="2">
        <v>1304.8</v>
      </c>
      <c r="G257" s="34">
        <f t="shared" si="14"/>
        <v>45650</v>
      </c>
      <c r="H257" s="2">
        <f t="shared" si="13"/>
        <v>1588.9179999999999</v>
      </c>
    </row>
    <row r="258" spans="1:8" ht="15" customHeight="1" x14ac:dyDescent="0.3">
      <c r="A258" s="41" t="s">
        <v>443</v>
      </c>
      <c r="B258" s="2">
        <v>1368.3119999999999</v>
      </c>
      <c r="D258" s="35">
        <f t="shared" si="15"/>
        <v>45984</v>
      </c>
      <c r="E258" s="2">
        <v>1368.3119999999999</v>
      </c>
      <c r="G258" s="34">
        <f t="shared" si="14"/>
        <v>45651</v>
      </c>
      <c r="H258" s="2">
        <f t="shared" si="13"/>
        <v>1588.9179999999999</v>
      </c>
    </row>
    <row r="259" spans="1:8" ht="15" customHeight="1" x14ac:dyDescent="0.3">
      <c r="A259" s="41" t="s">
        <v>444</v>
      </c>
      <c r="B259" s="2">
        <v>1137.7660000000001</v>
      </c>
      <c r="D259" s="35">
        <f t="shared" si="15"/>
        <v>45991</v>
      </c>
      <c r="E259" s="2">
        <v>1137.7660000000001</v>
      </c>
      <c r="G259" s="34">
        <f t="shared" si="14"/>
        <v>45652</v>
      </c>
      <c r="H259" s="2">
        <f t="shared" ref="H259:H322" si="16">LOOKUP(G259,D:D,E:E)</f>
        <v>1588.9179999999999</v>
      </c>
    </row>
    <row r="260" spans="1:8" ht="15" customHeight="1" x14ac:dyDescent="0.3">
      <c r="A260" s="41" t="s">
        <v>445</v>
      </c>
      <c r="B260" s="2">
        <v>1260.4079999999999</v>
      </c>
      <c r="D260" s="35">
        <f t="shared" si="15"/>
        <v>45998</v>
      </c>
      <c r="E260" s="2">
        <v>1260.4079999999999</v>
      </c>
      <c r="G260" s="34">
        <f t="shared" ref="G260:G323" si="17">G259+1</f>
        <v>45653</v>
      </c>
      <c r="H260" s="2">
        <f t="shared" si="16"/>
        <v>1588.9179999999999</v>
      </c>
    </row>
    <row r="261" spans="1:8" ht="15" customHeight="1" x14ac:dyDescent="0.3">
      <c r="A261" s="41" t="s">
        <v>446</v>
      </c>
      <c r="B261" s="2">
        <v>1316.9659999999999</v>
      </c>
      <c r="D261" s="35">
        <f t="shared" si="15"/>
        <v>46005</v>
      </c>
      <c r="E261" s="2">
        <v>1316.9659999999999</v>
      </c>
      <c r="G261" s="34">
        <f t="shared" si="17"/>
        <v>45654</v>
      </c>
      <c r="H261" s="2">
        <f t="shared" si="16"/>
        <v>1588.9179999999999</v>
      </c>
    </row>
    <row r="262" spans="1:8" ht="15" customHeight="1" x14ac:dyDescent="0.3">
      <c r="A262" s="41" t="s">
        <v>447</v>
      </c>
      <c r="B262" s="2">
        <v>1419.3440000000001</v>
      </c>
      <c r="D262" s="35">
        <f t="shared" si="15"/>
        <v>46012</v>
      </c>
      <c r="E262" s="2">
        <v>1419.3440000000001</v>
      </c>
      <c r="G262" s="34">
        <f t="shared" si="17"/>
        <v>45655</v>
      </c>
      <c r="H262" s="2">
        <f t="shared" si="16"/>
        <v>1566.25</v>
      </c>
    </row>
    <row r="263" spans="1:8" ht="15" customHeight="1" x14ac:dyDescent="0.3">
      <c r="A263" s="41" t="s">
        <v>448</v>
      </c>
      <c r="B263" s="2">
        <v>1472.1189999999999</v>
      </c>
      <c r="D263" s="35">
        <f t="shared" si="15"/>
        <v>46019</v>
      </c>
      <c r="E263" s="2">
        <v>1472.1189999999999</v>
      </c>
      <c r="G263" s="34">
        <f t="shared" si="17"/>
        <v>45656</v>
      </c>
      <c r="H263" s="2">
        <f t="shared" si="16"/>
        <v>1566.25</v>
      </c>
    </row>
    <row r="264" spans="1:8" ht="15" customHeight="1" x14ac:dyDescent="0.3">
      <c r="A264" s="41" t="s">
        <v>449</v>
      </c>
      <c r="B264" s="2">
        <v>1242.2539999999999</v>
      </c>
      <c r="D264" s="35">
        <f t="shared" si="15"/>
        <v>46026</v>
      </c>
      <c r="E264" s="2">
        <v>1242.2539999999999</v>
      </c>
      <c r="G264" s="34">
        <f t="shared" si="17"/>
        <v>45657</v>
      </c>
      <c r="H264" s="2">
        <f t="shared" si="16"/>
        <v>1566.25</v>
      </c>
    </row>
    <row r="265" spans="1:8" ht="15" customHeight="1" x14ac:dyDescent="0.3">
      <c r="A265" s="35" t="s">
        <v>450</v>
      </c>
      <c r="B265" s="2">
        <v>1165.9290000000001</v>
      </c>
      <c r="D265" s="35">
        <f t="shared" si="15"/>
        <v>46033</v>
      </c>
      <c r="E265" s="2">
        <v>1165.9290000000001</v>
      </c>
      <c r="G265" s="34">
        <f t="shared" si="17"/>
        <v>45658</v>
      </c>
      <c r="H265" s="2">
        <f t="shared" si="16"/>
        <v>1566.25</v>
      </c>
    </row>
    <row r="266" spans="1:8" ht="15" customHeight="1" x14ac:dyDescent="0.3">
      <c r="A266" s="35" t="s">
        <v>451</v>
      </c>
      <c r="B266" s="2">
        <v>1175.444</v>
      </c>
      <c r="D266" s="35">
        <f t="shared" si="15"/>
        <v>46040</v>
      </c>
      <c r="E266" s="2">
        <v>1175.444</v>
      </c>
      <c r="G266" s="34">
        <f t="shared" si="17"/>
        <v>45659</v>
      </c>
      <c r="H266" s="2">
        <f t="shared" si="16"/>
        <v>1566.25</v>
      </c>
    </row>
    <row r="267" spans="1:8" ht="15" customHeight="1" x14ac:dyDescent="0.3">
      <c r="A267" s="35" t="s">
        <v>452</v>
      </c>
      <c r="B267" s="2">
        <v>1291.6759999999999</v>
      </c>
      <c r="D267" s="35">
        <f t="shared" si="15"/>
        <v>46047</v>
      </c>
      <c r="E267" s="2">
        <v>1291.6759999999999</v>
      </c>
      <c r="G267" s="34">
        <f t="shared" si="17"/>
        <v>45660</v>
      </c>
      <c r="H267" s="2">
        <f t="shared" si="16"/>
        <v>1566.25</v>
      </c>
    </row>
    <row r="268" spans="1:8" ht="15" customHeight="1" x14ac:dyDescent="0.3">
      <c r="A268" t="s">
        <v>453</v>
      </c>
      <c r="B268" s="2">
        <v>1037.058</v>
      </c>
      <c r="D268" s="35">
        <f t="shared" si="15"/>
        <v>46054</v>
      </c>
      <c r="E268" s="2">
        <v>1037.058</v>
      </c>
      <c r="G268" s="34">
        <f t="shared" si="17"/>
        <v>45661</v>
      </c>
      <c r="H268" s="2">
        <f t="shared" si="16"/>
        <v>1566.25</v>
      </c>
    </row>
    <row r="269" spans="1:8" ht="15" customHeight="1" x14ac:dyDescent="0.3">
      <c r="A269" t="s">
        <v>454</v>
      </c>
      <c r="B269" s="2">
        <v>1117.76</v>
      </c>
      <c r="D269" s="35">
        <f t="shared" si="15"/>
        <v>46061</v>
      </c>
      <c r="E269" s="2">
        <v>1117.76</v>
      </c>
      <c r="G269" s="34">
        <f t="shared" si="17"/>
        <v>45662</v>
      </c>
      <c r="H269" s="2">
        <f t="shared" si="16"/>
        <v>1481.846</v>
      </c>
    </row>
    <row r="270" spans="1:8" ht="15" customHeight="1" x14ac:dyDescent="0.3">
      <c r="A270" t="s">
        <v>455</v>
      </c>
      <c r="B270" s="2">
        <v>1140.806</v>
      </c>
      <c r="D270" s="35">
        <f t="shared" si="15"/>
        <v>46068</v>
      </c>
      <c r="E270" s="2">
        <v>1140.806</v>
      </c>
      <c r="G270" s="34">
        <f t="shared" si="17"/>
        <v>45663</v>
      </c>
      <c r="H270" s="2">
        <f t="shared" si="16"/>
        <v>1481.846</v>
      </c>
    </row>
    <row r="271" spans="1:8" ht="15" customHeight="1" x14ac:dyDescent="0.3">
      <c r="A271" t="s">
        <v>456</v>
      </c>
      <c r="B271" s="2">
        <v>1473.65</v>
      </c>
      <c r="D271" s="35">
        <f t="shared" si="15"/>
        <v>46075</v>
      </c>
      <c r="E271" s="2">
        <v>1473.65</v>
      </c>
      <c r="G271" s="34">
        <f t="shared" si="17"/>
        <v>45664</v>
      </c>
      <c r="H271" s="2">
        <f t="shared" si="16"/>
        <v>1481.846</v>
      </c>
    </row>
    <row r="272" spans="1:8" ht="15" customHeight="1" x14ac:dyDescent="0.3">
      <c r="A272" t="s">
        <v>457</v>
      </c>
      <c r="B272" s="2">
        <v>1285.248</v>
      </c>
      <c r="D272" s="35">
        <f t="shared" si="15"/>
        <v>46082</v>
      </c>
      <c r="E272" s="2">
        <v>1285.248</v>
      </c>
      <c r="G272" s="34">
        <f t="shared" si="17"/>
        <v>45665</v>
      </c>
      <c r="H272" s="2">
        <f t="shared" si="16"/>
        <v>1481.846</v>
      </c>
    </row>
    <row r="273" spans="1:8" ht="15" customHeight="1" x14ac:dyDescent="0.3">
      <c r="A273" t="s">
        <v>458</v>
      </c>
      <c r="B273" s="2">
        <v>1347.0350000000001</v>
      </c>
      <c r="D273" s="35">
        <f t="shared" si="15"/>
        <v>46089</v>
      </c>
      <c r="E273" s="2">
        <v>1347.0350000000001</v>
      </c>
      <c r="G273" s="34">
        <f t="shared" si="17"/>
        <v>45666</v>
      </c>
      <c r="H273" s="2">
        <f t="shared" si="16"/>
        <v>1481.846</v>
      </c>
    </row>
    <row r="274" spans="1:8" ht="15" customHeight="1" x14ac:dyDescent="0.3">
      <c r="A274" t="s">
        <v>459</v>
      </c>
      <c r="B274" s="2">
        <v>1315.932</v>
      </c>
      <c r="D274" s="35">
        <f t="shared" si="15"/>
        <v>46096</v>
      </c>
      <c r="E274" s="2">
        <v>1315.932</v>
      </c>
      <c r="G274" s="34">
        <f t="shared" si="17"/>
        <v>45667</v>
      </c>
      <c r="H274" s="2">
        <f t="shared" si="16"/>
        <v>1481.846</v>
      </c>
    </row>
    <row r="275" spans="1:8" ht="15" customHeight="1" x14ac:dyDescent="0.3">
      <c r="A275" t="s">
        <v>460</v>
      </c>
      <c r="B275" s="2">
        <v>1063.934</v>
      </c>
      <c r="D275" s="35">
        <f t="shared" si="15"/>
        <v>46103</v>
      </c>
      <c r="E275" s="2">
        <v>1063.934</v>
      </c>
      <c r="G275" s="34">
        <f t="shared" si="17"/>
        <v>45668</v>
      </c>
      <c r="H275" s="2">
        <f t="shared" si="16"/>
        <v>1481.846</v>
      </c>
    </row>
    <row r="276" spans="1:8" ht="15" customHeight="1" x14ac:dyDescent="0.3">
      <c r="A276" t="s">
        <v>461</v>
      </c>
      <c r="B276" s="2">
        <v>1065.998</v>
      </c>
      <c r="D276" s="35">
        <f t="shared" si="15"/>
        <v>46110</v>
      </c>
      <c r="E276" s="2">
        <v>1065.998</v>
      </c>
      <c r="G276" s="34">
        <f t="shared" si="17"/>
        <v>45669</v>
      </c>
      <c r="H276" s="2">
        <f t="shared" si="16"/>
        <v>1617.8520000000001</v>
      </c>
    </row>
    <row r="277" spans="1:8" ht="15" customHeight="1" x14ac:dyDescent="0.3">
      <c r="A277" t="s">
        <v>462</v>
      </c>
      <c r="B277" s="2">
        <v>1258.885</v>
      </c>
      <c r="D277" s="35">
        <f t="shared" si="15"/>
        <v>46117</v>
      </c>
      <c r="E277" s="2">
        <v>1258.885</v>
      </c>
      <c r="G277" s="34">
        <f t="shared" si="17"/>
        <v>45670</v>
      </c>
      <c r="H277" s="2">
        <f t="shared" si="16"/>
        <v>1617.8520000000001</v>
      </c>
    </row>
    <row r="278" spans="1:8" ht="15" customHeight="1" x14ac:dyDescent="0.3">
      <c r="A278" t="s">
        <v>463</v>
      </c>
      <c r="B278" s="2">
        <v>971.23900000000003</v>
      </c>
      <c r="D278" s="35">
        <f t="shared" si="15"/>
        <v>46124</v>
      </c>
      <c r="E278" s="2">
        <v>971.23900000000003</v>
      </c>
      <c r="G278" s="34">
        <f t="shared" si="17"/>
        <v>45671</v>
      </c>
      <c r="H278" s="2">
        <f t="shared" si="16"/>
        <v>1617.8520000000001</v>
      </c>
    </row>
    <row r="279" spans="1:8" ht="15" customHeight="1" x14ac:dyDescent="0.3">
      <c r="A279" t="s">
        <v>666</v>
      </c>
      <c r="B279" s="2">
        <v>1241.7529999999999</v>
      </c>
      <c r="D279" s="35">
        <f t="shared" si="15"/>
        <v>46131</v>
      </c>
      <c r="E279" s="2">
        <v>1241.7529999999999</v>
      </c>
      <c r="G279" s="34">
        <f t="shared" si="17"/>
        <v>45672</v>
      </c>
      <c r="H279" s="2">
        <f t="shared" si="16"/>
        <v>1617.8520000000001</v>
      </c>
    </row>
    <row r="280" spans="1:8" ht="15" customHeight="1" x14ac:dyDescent="0.3">
      <c r="G280" s="34">
        <f t="shared" si="17"/>
        <v>45673</v>
      </c>
      <c r="H280" s="2">
        <f t="shared" si="16"/>
        <v>1617.8520000000001</v>
      </c>
    </row>
    <row r="281" spans="1:8" ht="15" customHeight="1" x14ac:dyDescent="0.3">
      <c r="G281" s="34">
        <f t="shared" si="17"/>
        <v>45674</v>
      </c>
      <c r="H281" s="2">
        <f t="shared" si="16"/>
        <v>1617.8520000000001</v>
      </c>
    </row>
    <row r="282" spans="1:8" ht="15" customHeight="1" x14ac:dyDescent="0.3">
      <c r="G282" s="34">
        <f t="shared" si="17"/>
        <v>45675</v>
      </c>
      <c r="H282" s="2">
        <f t="shared" si="16"/>
        <v>1617.8520000000001</v>
      </c>
    </row>
    <row r="283" spans="1:8" ht="15" customHeight="1" x14ac:dyDescent="0.3">
      <c r="G283" s="34">
        <f t="shared" si="17"/>
        <v>45676</v>
      </c>
      <c r="H283" s="2">
        <f t="shared" si="16"/>
        <v>1478.568</v>
      </c>
    </row>
    <row r="284" spans="1:8" ht="15" customHeight="1" x14ac:dyDescent="0.3">
      <c r="G284" s="34">
        <f t="shared" si="17"/>
        <v>45677</v>
      </c>
      <c r="H284" s="2">
        <f t="shared" si="16"/>
        <v>1478.568</v>
      </c>
    </row>
    <row r="285" spans="1:8" ht="15" customHeight="1" x14ac:dyDescent="0.3">
      <c r="G285" s="34">
        <f t="shared" si="17"/>
        <v>45678</v>
      </c>
      <c r="H285" s="2">
        <f t="shared" si="16"/>
        <v>1478.568</v>
      </c>
    </row>
    <row r="286" spans="1:8" ht="15" customHeight="1" x14ac:dyDescent="0.3">
      <c r="G286" s="34">
        <f t="shared" si="17"/>
        <v>45679</v>
      </c>
      <c r="H286" s="2">
        <f t="shared" si="16"/>
        <v>1478.568</v>
      </c>
    </row>
    <row r="287" spans="1:8" ht="15" customHeight="1" x14ac:dyDescent="0.3">
      <c r="G287" s="34">
        <f t="shared" si="17"/>
        <v>45680</v>
      </c>
      <c r="H287" s="2">
        <f t="shared" si="16"/>
        <v>1478.568</v>
      </c>
    </row>
    <row r="288" spans="1:8" ht="15" customHeight="1" x14ac:dyDescent="0.3">
      <c r="G288" s="34">
        <f t="shared" si="17"/>
        <v>45681</v>
      </c>
      <c r="H288" s="2">
        <f t="shared" si="16"/>
        <v>1478.568</v>
      </c>
    </row>
    <row r="289" spans="7:8" ht="15" customHeight="1" x14ac:dyDescent="0.3">
      <c r="G289" s="34">
        <f t="shared" si="17"/>
        <v>45682</v>
      </c>
      <c r="H289" s="2">
        <f t="shared" si="16"/>
        <v>1478.568</v>
      </c>
    </row>
    <row r="290" spans="7:8" ht="15" customHeight="1" x14ac:dyDescent="0.3">
      <c r="G290" s="34">
        <f t="shared" si="17"/>
        <v>45683</v>
      </c>
      <c r="H290" s="2">
        <f t="shared" si="16"/>
        <v>1685.12</v>
      </c>
    </row>
    <row r="291" spans="7:8" ht="15" customHeight="1" x14ac:dyDescent="0.3">
      <c r="G291" s="34">
        <f t="shared" si="17"/>
        <v>45684</v>
      </c>
      <c r="H291" s="2">
        <f t="shared" si="16"/>
        <v>1685.12</v>
      </c>
    </row>
    <row r="292" spans="7:8" ht="15" customHeight="1" x14ac:dyDescent="0.3">
      <c r="G292" s="34">
        <f t="shared" si="17"/>
        <v>45685</v>
      </c>
      <c r="H292" s="2">
        <f t="shared" si="16"/>
        <v>1685.12</v>
      </c>
    </row>
    <row r="293" spans="7:8" ht="15" customHeight="1" x14ac:dyDescent="0.3">
      <c r="G293" s="34">
        <f t="shared" si="17"/>
        <v>45686</v>
      </c>
      <c r="H293" s="2">
        <f t="shared" si="16"/>
        <v>1685.12</v>
      </c>
    </row>
    <row r="294" spans="7:8" ht="15" customHeight="1" x14ac:dyDescent="0.3">
      <c r="G294" s="34">
        <f t="shared" si="17"/>
        <v>45687</v>
      </c>
      <c r="H294" s="2">
        <f t="shared" si="16"/>
        <v>1685.12</v>
      </c>
    </row>
    <row r="295" spans="7:8" ht="15" customHeight="1" x14ac:dyDescent="0.3">
      <c r="G295" s="34">
        <f t="shared" si="17"/>
        <v>45688</v>
      </c>
      <c r="H295" s="2">
        <f t="shared" si="16"/>
        <v>1685.12</v>
      </c>
    </row>
    <row r="296" spans="7:8" ht="15" customHeight="1" x14ac:dyDescent="0.3">
      <c r="G296" s="34">
        <f t="shared" si="17"/>
        <v>45689</v>
      </c>
      <c r="H296" s="2">
        <f t="shared" si="16"/>
        <v>1685.12</v>
      </c>
    </row>
    <row r="297" spans="7:8" ht="15" customHeight="1" x14ac:dyDescent="0.3">
      <c r="G297" s="34">
        <f t="shared" si="17"/>
        <v>45690</v>
      </c>
      <c r="H297" s="2">
        <f t="shared" si="16"/>
        <v>1521.047</v>
      </c>
    </row>
    <row r="298" spans="7:8" ht="15" customHeight="1" x14ac:dyDescent="0.3">
      <c r="G298" s="34">
        <f t="shared" si="17"/>
        <v>45691</v>
      </c>
      <c r="H298" s="2">
        <f t="shared" si="16"/>
        <v>1521.047</v>
      </c>
    </row>
    <row r="299" spans="7:8" ht="15" customHeight="1" x14ac:dyDescent="0.3">
      <c r="G299" s="34">
        <f t="shared" si="17"/>
        <v>45692</v>
      </c>
      <c r="H299" s="2">
        <f t="shared" si="16"/>
        <v>1521.047</v>
      </c>
    </row>
    <row r="300" spans="7:8" ht="15" customHeight="1" x14ac:dyDescent="0.3">
      <c r="G300" s="34">
        <f t="shared" si="17"/>
        <v>45693</v>
      </c>
      <c r="H300" s="2">
        <f t="shared" si="16"/>
        <v>1521.047</v>
      </c>
    </row>
    <row r="301" spans="7:8" ht="15" customHeight="1" x14ac:dyDescent="0.3">
      <c r="G301" s="34">
        <f t="shared" si="17"/>
        <v>45694</v>
      </c>
      <c r="H301" s="2">
        <f t="shared" si="16"/>
        <v>1521.047</v>
      </c>
    </row>
    <row r="302" spans="7:8" ht="15" customHeight="1" x14ac:dyDescent="0.3">
      <c r="G302" s="34">
        <f t="shared" si="17"/>
        <v>45695</v>
      </c>
      <c r="H302" s="2">
        <f t="shared" si="16"/>
        <v>1521.047</v>
      </c>
    </row>
    <row r="303" spans="7:8" ht="15" customHeight="1" x14ac:dyDescent="0.3">
      <c r="G303" s="34">
        <f t="shared" si="17"/>
        <v>45696</v>
      </c>
      <c r="H303" s="2">
        <f t="shared" si="16"/>
        <v>1521.047</v>
      </c>
    </row>
    <row r="304" spans="7:8" ht="15" customHeight="1" x14ac:dyDescent="0.3">
      <c r="G304" s="34">
        <f t="shared" si="17"/>
        <v>45697</v>
      </c>
      <c r="H304" s="2">
        <f t="shared" si="16"/>
        <v>1489.0329999999999</v>
      </c>
    </row>
    <row r="305" spans="7:8" ht="15" customHeight="1" x14ac:dyDescent="0.3">
      <c r="G305" s="34">
        <f t="shared" si="17"/>
        <v>45698</v>
      </c>
      <c r="H305" s="2">
        <f t="shared" si="16"/>
        <v>1489.0329999999999</v>
      </c>
    </row>
    <row r="306" spans="7:8" ht="15" customHeight="1" x14ac:dyDescent="0.3">
      <c r="G306" s="34">
        <f t="shared" si="17"/>
        <v>45699</v>
      </c>
      <c r="H306" s="2">
        <f t="shared" si="16"/>
        <v>1489.0329999999999</v>
      </c>
    </row>
    <row r="307" spans="7:8" ht="15" customHeight="1" x14ac:dyDescent="0.3">
      <c r="G307" s="34">
        <f t="shared" si="17"/>
        <v>45700</v>
      </c>
      <c r="H307" s="2">
        <f t="shared" si="16"/>
        <v>1489.0329999999999</v>
      </c>
    </row>
    <row r="308" spans="7:8" ht="15" customHeight="1" x14ac:dyDescent="0.3">
      <c r="G308" s="34">
        <f t="shared" si="17"/>
        <v>45701</v>
      </c>
      <c r="H308" s="2">
        <f t="shared" si="16"/>
        <v>1489.0329999999999</v>
      </c>
    </row>
    <row r="309" spans="7:8" ht="15" customHeight="1" x14ac:dyDescent="0.3">
      <c r="G309" s="34">
        <f t="shared" si="17"/>
        <v>45702</v>
      </c>
      <c r="H309" s="2">
        <f t="shared" si="16"/>
        <v>1489.0329999999999</v>
      </c>
    </row>
    <row r="310" spans="7:8" ht="15" customHeight="1" x14ac:dyDescent="0.3">
      <c r="G310" s="34">
        <f t="shared" si="17"/>
        <v>45703</v>
      </c>
      <c r="H310" s="2">
        <f t="shared" si="16"/>
        <v>1489.0329999999999</v>
      </c>
    </row>
    <row r="311" spans="7:8" ht="15" customHeight="1" x14ac:dyDescent="0.3">
      <c r="G311" s="34">
        <f t="shared" si="17"/>
        <v>45704</v>
      </c>
      <c r="H311" s="2">
        <f t="shared" si="16"/>
        <v>1509.5609999999999</v>
      </c>
    </row>
    <row r="312" spans="7:8" ht="15" customHeight="1" x14ac:dyDescent="0.3">
      <c r="G312" s="34">
        <f t="shared" si="17"/>
        <v>45705</v>
      </c>
      <c r="H312" s="2">
        <f t="shared" si="16"/>
        <v>1509.5609999999999</v>
      </c>
    </row>
    <row r="313" spans="7:8" ht="15" customHeight="1" x14ac:dyDescent="0.3">
      <c r="G313" s="34">
        <f t="shared" si="17"/>
        <v>45706</v>
      </c>
      <c r="H313" s="2">
        <f t="shared" si="16"/>
        <v>1509.5609999999999</v>
      </c>
    </row>
    <row r="314" spans="7:8" ht="15" customHeight="1" x14ac:dyDescent="0.3">
      <c r="G314" s="34">
        <f t="shared" si="17"/>
        <v>45707</v>
      </c>
      <c r="H314" s="2">
        <f t="shared" si="16"/>
        <v>1509.5609999999999</v>
      </c>
    </row>
    <row r="315" spans="7:8" ht="15" customHeight="1" x14ac:dyDescent="0.3">
      <c r="G315" s="34">
        <f t="shared" si="17"/>
        <v>45708</v>
      </c>
      <c r="H315" s="2">
        <f t="shared" si="16"/>
        <v>1509.5609999999999</v>
      </c>
    </row>
    <row r="316" spans="7:8" ht="15" customHeight="1" x14ac:dyDescent="0.3">
      <c r="G316" s="34">
        <f t="shared" si="17"/>
        <v>45709</v>
      </c>
      <c r="H316" s="2">
        <f t="shared" si="16"/>
        <v>1509.5609999999999</v>
      </c>
    </row>
    <row r="317" spans="7:8" ht="15" customHeight="1" x14ac:dyDescent="0.3">
      <c r="G317" s="34">
        <f t="shared" si="17"/>
        <v>45710</v>
      </c>
      <c r="H317" s="2">
        <f t="shared" si="16"/>
        <v>1509.5609999999999</v>
      </c>
    </row>
    <row r="318" spans="7:8" ht="15" customHeight="1" x14ac:dyDescent="0.3">
      <c r="G318" s="34">
        <f t="shared" si="17"/>
        <v>45711</v>
      </c>
      <c r="H318" s="2">
        <f t="shared" si="16"/>
        <v>1408.5530000000001</v>
      </c>
    </row>
    <row r="319" spans="7:8" ht="15" customHeight="1" x14ac:dyDescent="0.3">
      <c r="G319" s="34">
        <f t="shared" si="17"/>
        <v>45712</v>
      </c>
      <c r="H319" s="2">
        <f t="shared" si="16"/>
        <v>1408.5530000000001</v>
      </c>
    </row>
    <row r="320" spans="7:8" ht="15" customHeight="1" x14ac:dyDescent="0.3">
      <c r="G320" s="34">
        <f t="shared" si="17"/>
        <v>45713</v>
      </c>
      <c r="H320" s="2">
        <f t="shared" si="16"/>
        <v>1408.5530000000001</v>
      </c>
    </row>
    <row r="321" spans="7:8" ht="15" customHeight="1" x14ac:dyDescent="0.3">
      <c r="G321" s="34">
        <f t="shared" si="17"/>
        <v>45714</v>
      </c>
      <c r="H321" s="2">
        <f t="shared" si="16"/>
        <v>1408.5530000000001</v>
      </c>
    </row>
    <row r="322" spans="7:8" ht="15" customHeight="1" x14ac:dyDescent="0.3">
      <c r="G322" s="34">
        <f t="shared" si="17"/>
        <v>45715</v>
      </c>
      <c r="H322" s="2">
        <f t="shared" si="16"/>
        <v>1408.5530000000001</v>
      </c>
    </row>
    <row r="323" spans="7:8" ht="15" customHeight="1" x14ac:dyDescent="0.3">
      <c r="G323" s="34">
        <f t="shared" si="17"/>
        <v>45716</v>
      </c>
      <c r="H323" s="2">
        <f t="shared" ref="H323:H386" si="18">LOOKUP(G323,D:D,E:E)</f>
        <v>1408.5530000000001</v>
      </c>
    </row>
    <row r="324" spans="7:8" ht="15" customHeight="1" x14ac:dyDescent="0.3">
      <c r="G324" s="34">
        <f t="shared" ref="G324:G387" si="19">G323+1</f>
        <v>45717</v>
      </c>
      <c r="H324" s="2">
        <f t="shared" si="18"/>
        <v>1408.5530000000001</v>
      </c>
    </row>
    <row r="325" spans="7:8" ht="15" customHeight="1" x14ac:dyDescent="0.3">
      <c r="G325" s="34">
        <f t="shared" si="19"/>
        <v>45718</v>
      </c>
      <c r="H325" s="2">
        <f t="shared" si="18"/>
        <v>1085.8530000000001</v>
      </c>
    </row>
    <row r="326" spans="7:8" ht="15" customHeight="1" x14ac:dyDescent="0.3">
      <c r="G326" s="34">
        <f t="shared" si="19"/>
        <v>45719</v>
      </c>
      <c r="H326" s="2">
        <f t="shared" si="18"/>
        <v>1085.8530000000001</v>
      </c>
    </row>
    <row r="327" spans="7:8" ht="15" customHeight="1" x14ac:dyDescent="0.3">
      <c r="G327" s="34">
        <f t="shared" si="19"/>
        <v>45720</v>
      </c>
      <c r="H327" s="2">
        <f t="shared" si="18"/>
        <v>1085.8530000000001</v>
      </c>
    </row>
    <row r="328" spans="7:8" ht="15" customHeight="1" x14ac:dyDescent="0.3">
      <c r="G328" s="34">
        <f t="shared" si="19"/>
        <v>45721</v>
      </c>
      <c r="H328" s="2">
        <f t="shared" si="18"/>
        <v>1085.8530000000001</v>
      </c>
    </row>
    <row r="329" spans="7:8" ht="15" customHeight="1" x14ac:dyDescent="0.3">
      <c r="G329" s="34">
        <f t="shared" si="19"/>
        <v>45722</v>
      </c>
      <c r="H329" s="2">
        <f t="shared" si="18"/>
        <v>1085.8530000000001</v>
      </c>
    </row>
    <row r="330" spans="7:8" ht="15" customHeight="1" x14ac:dyDescent="0.3">
      <c r="G330" s="34">
        <f t="shared" si="19"/>
        <v>45723</v>
      </c>
      <c r="H330" s="2">
        <f t="shared" si="18"/>
        <v>1085.8530000000001</v>
      </c>
    </row>
    <row r="331" spans="7:8" ht="15" customHeight="1" x14ac:dyDescent="0.3">
      <c r="G331" s="34">
        <f t="shared" si="19"/>
        <v>45724</v>
      </c>
      <c r="H331" s="2">
        <f t="shared" si="18"/>
        <v>1085.8530000000001</v>
      </c>
    </row>
    <row r="332" spans="7:8" ht="15" customHeight="1" x14ac:dyDescent="0.3">
      <c r="G332" s="34">
        <f t="shared" si="19"/>
        <v>45725</v>
      </c>
      <c r="H332" s="2">
        <f t="shared" si="18"/>
        <v>1470.8430000000001</v>
      </c>
    </row>
    <row r="333" spans="7:8" ht="15" customHeight="1" x14ac:dyDescent="0.3">
      <c r="G333" s="34">
        <f t="shared" si="19"/>
        <v>45726</v>
      </c>
      <c r="H333" s="2">
        <f t="shared" si="18"/>
        <v>1470.8430000000001</v>
      </c>
    </row>
    <row r="334" spans="7:8" ht="15" customHeight="1" x14ac:dyDescent="0.3">
      <c r="G334" s="34">
        <f t="shared" si="19"/>
        <v>45727</v>
      </c>
      <c r="H334" s="2">
        <f t="shared" si="18"/>
        <v>1470.8430000000001</v>
      </c>
    </row>
    <row r="335" spans="7:8" ht="15" customHeight="1" x14ac:dyDescent="0.3">
      <c r="G335" s="34">
        <f t="shared" si="19"/>
        <v>45728</v>
      </c>
      <c r="H335" s="2">
        <f t="shared" si="18"/>
        <v>1470.8430000000001</v>
      </c>
    </row>
    <row r="336" spans="7:8" ht="15" customHeight="1" x14ac:dyDescent="0.3">
      <c r="G336" s="34">
        <f t="shared" si="19"/>
        <v>45729</v>
      </c>
      <c r="H336" s="2">
        <f t="shared" si="18"/>
        <v>1470.8430000000001</v>
      </c>
    </row>
    <row r="337" spans="7:8" ht="15" customHeight="1" x14ac:dyDescent="0.3">
      <c r="G337" s="34">
        <f t="shared" si="19"/>
        <v>45730</v>
      </c>
      <c r="H337" s="2">
        <f t="shared" si="18"/>
        <v>1470.8430000000001</v>
      </c>
    </row>
    <row r="338" spans="7:8" ht="15" customHeight="1" x14ac:dyDescent="0.3">
      <c r="G338" s="34">
        <f t="shared" si="19"/>
        <v>45731</v>
      </c>
      <c r="H338" s="2">
        <f t="shared" si="18"/>
        <v>1470.8430000000001</v>
      </c>
    </row>
    <row r="339" spans="7:8" ht="15" customHeight="1" x14ac:dyDescent="0.3">
      <c r="G339" s="34">
        <f t="shared" si="19"/>
        <v>45732</v>
      </c>
      <c r="H339" s="2">
        <f t="shared" si="18"/>
        <v>1415.7650000000001</v>
      </c>
    </row>
    <row r="340" spans="7:8" ht="15" customHeight="1" x14ac:dyDescent="0.3">
      <c r="G340" s="34">
        <f t="shared" si="19"/>
        <v>45733</v>
      </c>
      <c r="H340" s="2">
        <f t="shared" si="18"/>
        <v>1415.7650000000001</v>
      </c>
    </row>
    <row r="341" spans="7:8" ht="15" customHeight="1" x14ac:dyDescent="0.3">
      <c r="G341" s="34">
        <f t="shared" si="19"/>
        <v>45734</v>
      </c>
      <c r="H341" s="2">
        <f t="shared" si="18"/>
        <v>1415.7650000000001</v>
      </c>
    </row>
    <row r="342" spans="7:8" ht="15" customHeight="1" x14ac:dyDescent="0.3">
      <c r="G342" s="34">
        <f t="shared" si="19"/>
        <v>45735</v>
      </c>
      <c r="H342" s="2">
        <f t="shared" si="18"/>
        <v>1415.7650000000001</v>
      </c>
    </row>
    <row r="343" spans="7:8" ht="15" customHeight="1" x14ac:dyDescent="0.3">
      <c r="G343" s="34">
        <f t="shared" si="19"/>
        <v>45736</v>
      </c>
      <c r="H343" s="2">
        <f t="shared" si="18"/>
        <v>1415.7650000000001</v>
      </c>
    </row>
    <row r="344" spans="7:8" ht="15" customHeight="1" x14ac:dyDescent="0.3">
      <c r="G344" s="34">
        <f t="shared" si="19"/>
        <v>45737</v>
      </c>
      <c r="H344" s="2">
        <f t="shared" si="18"/>
        <v>1415.7650000000001</v>
      </c>
    </row>
    <row r="345" spans="7:8" ht="15" customHeight="1" x14ac:dyDescent="0.3">
      <c r="G345" s="34">
        <f t="shared" si="19"/>
        <v>45738</v>
      </c>
      <c r="H345" s="2">
        <f t="shared" si="18"/>
        <v>1415.7650000000001</v>
      </c>
    </row>
    <row r="346" spans="7:8" ht="15" customHeight="1" x14ac:dyDescent="0.3">
      <c r="G346" s="34">
        <f t="shared" si="19"/>
        <v>45739</v>
      </c>
      <c r="H346" s="2">
        <f t="shared" si="18"/>
        <v>1454.1880000000001</v>
      </c>
    </row>
    <row r="347" spans="7:8" ht="15" customHeight="1" x14ac:dyDescent="0.3">
      <c r="G347" s="34">
        <f t="shared" si="19"/>
        <v>45740</v>
      </c>
      <c r="H347" s="2">
        <f t="shared" si="18"/>
        <v>1454.1880000000001</v>
      </c>
    </row>
    <row r="348" spans="7:8" ht="15" customHeight="1" x14ac:dyDescent="0.3">
      <c r="G348" s="34">
        <f t="shared" si="19"/>
        <v>45741</v>
      </c>
      <c r="H348" s="2">
        <f t="shared" si="18"/>
        <v>1454.1880000000001</v>
      </c>
    </row>
    <row r="349" spans="7:8" ht="15" customHeight="1" x14ac:dyDescent="0.3">
      <c r="G349" s="34">
        <f t="shared" si="19"/>
        <v>45742</v>
      </c>
      <c r="H349" s="2">
        <f t="shared" si="18"/>
        <v>1454.1880000000001</v>
      </c>
    </row>
    <row r="350" spans="7:8" ht="15" customHeight="1" x14ac:dyDescent="0.3">
      <c r="G350" s="34">
        <f t="shared" si="19"/>
        <v>45743</v>
      </c>
      <c r="H350" s="2">
        <f t="shared" si="18"/>
        <v>1454.1880000000001</v>
      </c>
    </row>
    <row r="351" spans="7:8" ht="15" customHeight="1" x14ac:dyDescent="0.3">
      <c r="G351" s="34">
        <f t="shared" si="19"/>
        <v>45744</v>
      </c>
      <c r="H351" s="2">
        <f t="shared" si="18"/>
        <v>1454.1880000000001</v>
      </c>
    </row>
    <row r="352" spans="7:8" ht="15" customHeight="1" x14ac:dyDescent="0.3">
      <c r="G352" s="34">
        <f t="shared" si="19"/>
        <v>45745</v>
      </c>
      <c r="H352" s="2">
        <f t="shared" si="18"/>
        <v>1454.1880000000001</v>
      </c>
    </row>
    <row r="353" spans="7:8" ht="15" customHeight="1" x14ac:dyDescent="0.3">
      <c r="G353" s="34">
        <f t="shared" si="19"/>
        <v>45746</v>
      </c>
      <c r="H353" s="2">
        <f t="shared" si="18"/>
        <v>1497.973</v>
      </c>
    </row>
    <row r="354" spans="7:8" ht="15" customHeight="1" x14ac:dyDescent="0.3">
      <c r="G354" s="34">
        <f t="shared" si="19"/>
        <v>45747</v>
      </c>
      <c r="H354" s="2">
        <f t="shared" si="18"/>
        <v>1497.973</v>
      </c>
    </row>
    <row r="355" spans="7:8" ht="15" customHeight="1" x14ac:dyDescent="0.3">
      <c r="G355" s="34">
        <f t="shared" si="19"/>
        <v>45748</v>
      </c>
      <c r="H355" s="2">
        <f t="shared" si="18"/>
        <v>1497.973</v>
      </c>
    </row>
    <row r="356" spans="7:8" ht="15" customHeight="1" x14ac:dyDescent="0.3">
      <c r="G356" s="34">
        <f t="shared" si="19"/>
        <v>45749</v>
      </c>
      <c r="H356" s="2">
        <f t="shared" si="18"/>
        <v>1497.973</v>
      </c>
    </row>
    <row r="357" spans="7:8" ht="15" customHeight="1" x14ac:dyDescent="0.3">
      <c r="G357" s="34">
        <f t="shared" si="19"/>
        <v>45750</v>
      </c>
      <c r="H357" s="2">
        <f t="shared" si="18"/>
        <v>1497.973</v>
      </c>
    </row>
    <row r="358" spans="7:8" ht="15" customHeight="1" x14ac:dyDescent="0.3">
      <c r="G358" s="34">
        <f t="shared" si="19"/>
        <v>45751</v>
      </c>
      <c r="H358" s="2">
        <f t="shared" si="18"/>
        <v>1497.973</v>
      </c>
    </row>
    <row r="359" spans="7:8" ht="15" customHeight="1" x14ac:dyDescent="0.3">
      <c r="G359" s="34">
        <f t="shared" si="19"/>
        <v>45752</v>
      </c>
      <c r="H359" s="2">
        <f t="shared" si="18"/>
        <v>1497.973</v>
      </c>
    </row>
    <row r="360" spans="7:8" ht="15" customHeight="1" x14ac:dyDescent="0.3">
      <c r="G360" s="34">
        <f t="shared" si="19"/>
        <v>45753</v>
      </c>
      <c r="H360" s="2">
        <f t="shared" si="18"/>
        <v>1386.8420000000001</v>
      </c>
    </row>
    <row r="361" spans="7:8" ht="15" customHeight="1" x14ac:dyDescent="0.3">
      <c r="G361" s="34">
        <f t="shared" si="19"/>
        <v>45754</v>
      </c>
      <c r="H361" s="2">
        <f t="shared" si="18"/>
        <v>1386.8420000000001</v>
      </c>
    </row>
    <row r="362" spans="7:8" ht="15" customHeight="1" x14ac:dyDescent="0.3">
      <c r="G362" s="34">
        <f t="shared" si="19"/>
        <v>45755</v>
      </c>
      <c r="H362" s="2">
        <f t="shared" si="18"/>
        <v>1386.8420000000001</v>
      </c>
    </row>
    <row r="363" spans="7:8" ht="15" customHeight="1" x14ac:dyDescent="0.3">
      <c r="G363" s="34">
        <f t="shared" si="19"/>
        <v>45756</v>
      </c>
      <c r="H363" s="2">
        <f t="shared" si="18"/>
        <v>1386.8420000000001</v>
      </c>
    </row>
    <row r="364" spans="7:8" ht="15" customHeight="1" x14ac:dyDescent="0.3">
      <c r="G364" s="34">
        <f t="shared" si="19"/>
        <v>45757</v>
      </c>
      <c r="H364" s="2">
        <f t="shared" si="18"/>
        <v>1386.8420000000001</v>
      </c>
    </row>
    <row r="365" spans="7:8" ht="15" customHeight="1" x14ac:dyDescent="0.3">
      <c r="G365" s="34">
        <f t="shared" si="19"/>
        <v>45758</v>
      </c>
      <c r="H365" s="2">
        <f t="shared" si="18"/>
        <v>1386.8420000000001</v>
      </c>
    </row>
    <row r="366" spans="7:8" ht="15" customHeight="1" x14ac:dyDescent="0.3">
      <c r="G366" s="34">
        <f t="shared" si="19"/>
        <v>45759</v>
      </c>
      <c r="H366" s="2">
        <f t="shared" si="18"/>
        <v>1386.8420000000001</v>
      </c>
    </row>
    <row r="367" spans="7:8" ht="15" customHeight="1" x14ac:dyDescent="0.3">
      <c r="G367" s="34">
        <f t="shared" si="19"/>
        <v>45760</v>
      </c>
      <c r="H367" s="2">
        <f t="shared" si="18"/>
        <v>1510.326</v>
      </c>
    </row>
    <row r="368" spans="7:8" ht="15" customHeight="1" x14ac:dyDescent="0.3">
      <c r="G368" s="34">
        <f t="shared" si="19"/>
        <v>45761</v>
      </c>
      <c r="H368" s="2">
        <f t="shared" si="18"/>
        <v>1510.326</v>
      </c>
    </row>
    <row r="369" spans="7:8" ht="15" customHeight="1" x14ac:dyDescent="0.3">
      <c r="G369" s="34">
        <f t="shared" si="19"/>
        <v>45762</v>
      </c>
      <c r="H369" s="2">
        <f t="shared" si="18"/>
        <v>1510.326</v>
      </c>
    </row>
    <row r="370" spans="7:8" ht="15" customHeight="1" x14ac:dyDescent="0.3">
      <c r="G370" s="34">
        <f t="shared" si="19"/>
        <v>45763</v>
      </c>
      <c r="H370" s="2">
        <f t="shared" si="18"/>
        <v>1510.326</v>
      </c>
    </row>
    <row r="371" spans="7:8" ht="15" customHeight="1" x14ac:dyDescent="0.3">
      <c r="G371" s="34">
        <f t="shared" si="19"/>
        <v>45764</v>
      </c>
      <c r="H371" s="2">
        <f t="shared" si="18"/>
        <v>1510.326</v>
      </c>
    </row>
    <row r="372" spans="7:8" ht="15" customHeight="1" x14ac:dyDescent="0.3">
      <c r="G372" s="34">
        <f t="shared" si="19"/>
        <v>45765</v>
      </c>
      <c r="H372" s="2">
        <f t="shared" si="18"/>
        <v>1510.326</v>
      </c>
    </row>
    <row r="373" spans="7:8" ht="15" customHeight="1" x14ac:dyDescent="0.3">
      <c r="G373" s="34">
        <f t="shared" si="19"/>
        <v>45766</v>
      </c>
      <c r="H373" s="2">
        <f t="shared" si="18"/>
        <v>1510.326</v>
      </c>
    </row>
    <row r="374" spans="7:8" ht="15" customHeight="1" x14ac:dyDescent="0.3">
      <c r="G374" s="34">
        <f t="shared" si="19"/>
        <v>45767</v>
      </c>
      <c r="H374" s="2">
        <f t="shared" si="18"/>
        <v>1292.9359999999999</v>
      </c>
    </row>
    <row r="375" spans="7:8" ht="15" customHeight="1" x14ac:dyDescent="0.3">
      <c r="G375" s="34">
        <f t="shared" si="19"/>
        <v>45768</v>
      </c>
      <c r="H375" s="2">
        <f t="shared" si="18"/>
        <v>1292.9359999999999</v>
      </c>
    </row>
    <row r="376" spans="7:8" ht="15" customHeight="1" x14ac:dyDescent="0.3">
      <c r="G376" s="34">
        <f t="shared" si="19"/>
        <v>45769</v>
      </c>
      <c r="H376" s="2">
        <f t="shared" si="18"/>
        <v>1292.9359999999999</v>
      </c>
    </row>
    <row r="377" spans="7:8" ht="15" customHeight="1" x14ac:dyDescent="0.3">
      <c r="G377" s="34">
        <f t="shared" si="19"/>
        <v>45770</v>
      </c>
      <c r="H377" s="2">
        <f t="shared" si="18"/>
        <v>1292.9359999999999</v>
      </c>
    </row>
    <row r="378" spans="7:8" ht="15" customHeight="1" x14ac:dyDescent="0.3">
      <c r="G378" s="34">
        <f t="shared" si="19"/>
        <v>45771</v>
      </c>
      <c r="H378" s="2">
        <f t="shared" si="18"/>
        <v>1292.9359999999999</v>
      </c>
    </row>
    <row r="379" spans="7:8" ht="15" customHeight="1" x14ac:dyDescent="0.3">
      <c r="G379" s="34">
        <f t="shared" si="19"/>
        <v>45772</v>
      </c>
      <c r="H379" s="2">
        <f t="shared" si="18"/>
        <v>1292.9359999999999</v>
      </c>
    </row>
    <row r="380" spans="7:8" ht="15" customHeight="1" x14ac:dyDescent="0.3">
      <c r="G380" s="34">
        <f t="shared" si="19"/>
        <v>45773</v>
      </c>
      <c r="H380" s="2">
        <f t="shared" si="18"/>
        <v>1292.9359999999999</v>
      </c>
    </row>
    <row r="381" spans="7:8" ht="15" customHeight="1" x14ac:dyDescent="0.3">
      <c r="G381" s="34">
        <f t="shared" si="19"/>
        <v>45774</v>
      </c>
      <c r="H381" s="2">
        <f t="shared" si="18"/>
        <v>1086.8420000000001</v>
      </c>
    </row>
    <row r="382" spans="7:8" ht="15" customHeight="1" x14ac:dyDescent="0.3">
      <c r="G382" s="34">
        <f t="shared" si="19"/>
        <v>45775</v>
      </c>
      <c r="H382" s="2">
        <f t="shared" si="18"/>
        <v>1086.8420000000001</v>
      </c>
    </row>
    <row r="383" spans="7:8" ht="15" customHeight="1" x14ac:dyDescent="0.3">
      <c r="G383" s="34">
        <f t="shared" si="19"/>
        <v>45776</v>
      </c>
      <c r="H383" s="2">
        <f t="shared" si="18"/>
        <v>1086.8420000000001</v>
      </c>
    </row>
    <row r="384" spans="7:8" ht="15" customHeight="1" x14ac:dyDescent="0.3">
      <c r="G384" s="34">
        <f t="shared" si="19"/>
        <v>45777</v>
      </c>
      <c r="H384" s="2">
        <f t="shared" si="18"/>
        <v>1086.8420000000001</v>
      </c>
    </row>
    <row r="385" spans="7:8" ht="15" customHeight="1" x14ac:dyDescent="0.3">
      <c r="G385" s="34">
        <f t="shared" si="19"/>
        <v>45778</v>
      </c>
      <c r="H385" s="2">
        <f t="shared" si="18"/>
        <v>1086.8420000000001</v>
      </c>
    </row>
    <row r="386" spans="7:8" ht="15" customHeight="1" x14ac:dyDescent="0.3">
      <c r="G386" s="34">
        <f t="shared" si="19"/>
        <v>45779</v>
      </c>
      <c r="H386" s="2">
        <f t="shared" si="18"/>
        <v>1086.8420000000001</v>
      </c>
    </row>
    <row r="387" spans="7:8" ht="15" customHeight="1" x14ac:dyDescent="0.3">
      <c r="G387" s="34">
        <f t="shared" si="19"/>
        <v>45780</v>
      </c>
      <c r="H387" s="2">
        <f t="shared" ref="H387:H450" si="20">LOOKUP(G387,D:D,E:E)</f>
        <v>1086.8420000000001</v>
      </c>
    </row>
    <row r="388" spans="7:8" ht="15" customHeight="1" x14ac:dyDescent="0.3">
      <c r="G388" s="34">
        <f t="shared" ref="G388:G451" si="21">G387+1</f>
        <v>45781</v>
      </c>
      <c r="H388" s="2">
        <f t="shared" si="20"/>
        <v>1094.45</v>
      </c>
    </row>
    <row r="389" spans="7:8" ht="15" customHeight="1" x14ac:dyDescent="0.3">
      <c r="G389" s="34">
        <f t="shared" si="21"/>
        <v>45782</v>
      </c>
      <c r="H389" s="2">
        <f t="shared" si="20"/>
        <v>1094.45</v>
      </c>
    </row>
    <row r="390" spans="7:8" ht="15" customHeight="1" x14ac:dyDescent="0.3">
      <c r="G390" s="34">
        <f t="shared" si="21"/>
        <v>45783</v>
      </c>
      <c r="H390" s="2">
        <f t="shared" si="20"/>
        <v>1094.45</v>
      </c>
    </row>
    <row r="391" spans="7:8" ht="15" customHeight="1" x14ac:dyDescent="0.3">
      <c r="G391" s="34">
        <f t="shared" si="21"/>
        <v>45784</v>
      </c>
      <c r="H391" s="2">
        <f t="shared" si="20"/>
        <v>1094.45</v>
      </c>
    </row>
    <row r="392" spans="7:8" ht="15" customHeight="1" x14ac:dyDescent="0.3">
      <c r="G392" s="34">
        <f t="shared" si="21"/>
        <v>45785</v>
      </c>
      <c r="H392" s="2">
        <f t="shared" si="20"/>
        <v>1094.45</v>
      </c>
    </row>
    <row r="393" spans="7:8" ht="15" customHeight="1" x14ac:dyDescent="0.3">
      <c r="G393" s="34">
        <f t="shared" si="21"/>
        <v>45786</v>
      </c>
      <c r="H393" s="2">
        <f t="shared" si="20"/>
        <v>1094.45</v>
      </c>
    </row>
    <row r="394" spans="7:8" ht="15" customHeight="1" x14ac:dyDescent="0.3">
      <c r="G394" s="34">
        <f t="shared" si="21"/>
        <v>45787</v>
      </c>
      <c r="H394" s="2">
        <f t="shared" si="20"/>
        <v>1094.45</v>
      </c>
    </row>
    <row r="395" spans="7:8" ht="15" customHeight="1" x14ac:dyDescent="0.3">
      <c r="G395" s="34">
        <f t="shared" si="21"/>
        <v>45788</v>
      </c>
      <c r="H395" s="2">
        <f t="shared" si="20"/>
        <v>964.78899999999999</v>
      </c>
    </row>
    <row r="396" spans="7:8" ht="15" customHeight="1" x14ac:dyDescent="0.3">
      <c r="G396" s="34">
        <f t="shared" si="21"/>
        <v>45789</v>
      </c>
      <c r="H396" s="2">
        <f t="shared" si="20"/>
        <v>964.78899999999999</v>
      </c>
    </row>
    <row r="397" spans="7:8" ht="15" customHeight="1" x14ac:dyDescent="0.3">
      <c r="G397" s="34">
        <f t="shared" si="21"/>
        <v>45790</v>
      </c>
      <c r="H397" s="2">
        <f t="shared" si="20"/>
        <v>964.78899999999999</v>
      </c>
    </row>
    <row r="398" spans="7:8" ht="15" customHeight="1" x14ac:dyDescent="0.3">
      <c r="G398" s="34">
        <f t="shared" si="21"/>
        <v>45791</v>
      </c>
      <c r="H398" s="2">
        <f t="shared" si="20"/>
        <v>964.78899999999999</v>
      </c>
    </row>
    <row r="399" spans="7:8" ht="15" customHeight="1" x14ac:dyDescent="0.3">
      <c r="G399" s="34">
        <f t="shared" si="21"/>
        <v>45792</v>
      </c>
      <c r="H399" s="2">
        <f t="shared" si="20"/>
        <v>964.78899999999999</v>
      </c>
    </row>
    <row r="400" spans="7:8" ht="15" customHeight="1" x14ac:dyDescent="0.3">
      <c r="G400" s="34">
        <f t="shared" si="21"/>
        <v>45793</v>
      </c>
      <c r="H400" s="2">
        <f t="shared" si="20"/>
        <v>964.78899999999999</v>
      </c>
    </row>
    <row r="401" spans="7:8" ht="15" customHeight="1" x14ac:dyDescent="0.3">
      <c r="G401" s="34">
        <f t="shared" si="21"/>
        <v>45794</v>
      </c>
      <c r="H401" s="2">
        <f t="shared" si="20"/>
        <v>964.78899999999999</v>
      </c>
    </row>
    <row r="402" spans="7:8" ht="15" customHeight="1" x14ac:dyDescent="0.3">
      <c r="G402" s="34">
        <f t="shared" si="21"/>
        <v>45795</v>
      </c>
      <c r="H402" s="2">
        <f t="shared" si="20"/>
        <v>1262.672</v>
      </c>
    </row>
    <row r="403" spans="7:8" ht="15" customHeight="1" x14ac:dyDescent="0.3">
      <c r="G403" s="34">
        <f t="shared" si="21"/>
        <v>45796</v>
      </c>
      <c r="H403" s="2">
        <f t="shared" si="20"/>
        <v>1262.672</v>
      </c>
    </row>
    <row r="404" spans="7:8" ht="15" customHeight="1" x14ac:dyDescent="0.3">
      <c r="G404" s="34">
        <f t="shared" si="21"/>
        <v>45797</v>
      </c>
      <c r="H404" s="2">
        <f t="shared" si="20"/>
        <v>1262.672</v>
      </c>
    </row>
    <row r="405" spans="7:8" ht="15" customHeight="1" x14ac:dyDescent="0.3">
      <c r="G405" s="34">
        <f t="shared" si="21"/>
        <v>45798</v>
      </c>
      <c r="H405" s="2">
        <f t="shared" si="20"/>
        <v>1262.672</v>
      </c>
    </row>
    <row r="406" spans="7:8" ht="15" customHeight="1" x14ac:dyDescent="0.3">
      <c r="G406" s="34">
        <f t="shared" si="21"/>
        <v>45799</v>
      </c>
      <c r="H406" s="2">
        <f t="shared" si="20"/>
        <v>1262.672</v>
      </c>
    </row>
    <row r="407" spans="7:8" ht="15" customHeight="1" x14ac:dyDescent="0.3">
      <c r="G407" s="34">
        <f t="shared" si="21"/>
        <v>45800</v>
      </c>
      <c r="H407" s="2">
        <f t="shared" si="20"/>
        <v>1262.672</v>
      </c>
    </row>
    <row r="408" spans="7:8" ht="15" customHeight="1" x14ac:dyDescent="0.3">
      <c r="G408" s="34">
        <f t="shared" si="21"/>
        <v>45801</v>
      </c>
      <c r="H408" s="2">
        <f t="shared" si="20"/>
        <v>1262.672</v>
      </c>
    </row>
    <row r="409" spans="7:8" ht="15" customHeight="1" x14ac:dyDescent="0.3">
      <c r="G409" s="34">
        <f t="shared" si="21"/>
        <v>45802</v>
      </c>
      <c r="H409" s="2">
        <f t="shared" si="20"/>
        <v>1066.117</v>
      </c>
    </row>
    <row r="410" spans="7:8" ht="15" customHeight="1" x14ac:dyDescent="0.3">
      <c r="G410" s="34">
        <f t="shared" si="21"/>
        <v>45803</v>
      </c>
      <c r="H410" s="2">
        <f t="shared" si="20"/>
        <v>1066.117</v>
      </c>
    </row>
    <row r="411" spans="7:8" ht="15" customHeight="1" x14ac:dyDescent="0.3">
      <c r="G411" s="34">
        <f t="shared" si="21"/>
        <v>45804</v>
      </c>
      <c r="H411" s="2">
        <f t="shared" si="20"/>
        <v>1066.117</v>
      </c>
    </row>
    <row r="412" spans="7:8" ht="15" customHeight="1" x14ac:dyDescent="0.3">
      <c r="G412" s="34">
        <f t="shared" si="21"/>
        <v>45805</v>
      </c>
      <c r="H412" s="2">
        <f t="shared" si="20"/>
        <v>1066.117</v>
      </c>
    </row>
    <row r="413" spans="7:8" ht="15" customHeight="1" x14ac:dyDescent="0.3">
      <c r="G413" s="34">
        <f t="shared" si="21"/>
        <v>45806</v>
      </c>
      <c r="H413" s="2">
        <f t="shared" si="20"/>
        <v>1066.117</v>
      </c>
    </row>
    <row r="414" spans="7:8" ht="15" customHeight="1" x14ac:dyDescent="0.3">
      <c r="G414" s="34">
        <f t="shared" si="21"/>
        <v>45807</v>
      </c>
      <c r="H414" s="2">
        <f t="shared" si="20"/>
        <v>1066.117</v>
      </c>
    </row>
    <row r="415" spans="7:8" ht="15" customHeight="1" x14ac:dyDescent="0.3">
      <c r="G415" s="34">
        <f t="shared" si="21"/>
        <v>45808</v>
      </c>
      <c r="H415" s="2">
        <f t="shared" si="20"/>
        <v>1066.117</v>
      </c>
    </row>
    <row r="416" spans="7:8" ht="15" customHeight="1" x14ac:dyDescent="0.3">
      <c r="G416" s="34">
        <f t="shared" si="21"/>
        <v>45809</v>
      </c>
      <c r="H416" s="2">
        <f t="shared" si="20"/>
        <v>986.44100000000003</v>
      </c>
    </row>
    <row r="417" spans="7:8" ht="15" customHeight="1" x14ac:dyDescent="0.3">
      <c r="G417" s="34">
        <f t="shared" si="21"/>
        <v>45810</v>
      </c>
      <c r="H417" s="2">
        <f t="shared" si="20"/>
        <v>986.44100000000003</v>
      </c>
    </row>
    <row r="418" spans="7:8" ht="15" customHeight="1" x14ac:dyDescent="0.3">
      <c r="G418" s="34">
        <f t="shared" si="21"/>
        <v>45811</v>
      </c>
      <c r="H418" s="2">
        <f t="shared" si="20"/>
        <v>986.44100000000003</v>
      </c>
    </row>
    <row r="419" spans="7:8" ht="15" customHeight="1" x14ac:dyDescent="0.3">
      <c r="G419" s="34">
        <f t="shared" si="21"/>
        <v>45812</v>
      </c>
      <c r="H419" s="2">
        <f t="shared" si="20"/>
        <v>986.44100000000003</v>
      </c>
    </row>
    <row r="420" spans="7:8" ht="15" customHeight="1" x14ac:dyDescent="0.3">
      <c r="G420" s="34">
        <f t="shared" si="21"/>
        <v>45813</v>
      </c>
      <c r="H420" s="2">
        <f t="shared" si="20"/>
        <v>986.44100000000003</v>
      </c>
    </row>
    <row r="421" spans="7:8" ht="15" customHeight="1" x14ac:dyDescent="0.3">
      <c r="G421" s="34">
        <f t="shared" si="21"/>
        <v>45814</v>
      </c>
      <c r="H421" s="2">
        <f t="shared" si="20"/>
        <v>986.44100000000003</v>
      </c>
    </row>
    <row r="422" spans="7:8" ht="15" customHeight="1" x14ac:dyDescent="0.3">
      <c r="G422" s="34">
        <f t="shared" si="21"/>
        <v>45815</v>
      </c>
      <c r="H422" s="2">
        <f t="shared" si="20"/>
        <v>986.44100000000003</v>
      </c>
    </row>
    <row r="423" spans="7:8" ht="15" customHeight="1" x14ac:dyDescent="0.3">
      <c r="G423" s="34">
        <f t="shared" si="21"/>
        <v>45816</v>
      </c>
      <c r="H423" s="2">
        <f t="shared" si="20"/>
        <v>1120.7950000000001</v>
      </c>
    </row>
    <row r="424" spans="7:8" ht="15" customHeight="1" x14ac:dyDescent="0.3">
      <c r="G424" s="34">
        <f t="shared" si="21"/>
        <v>45817</v>
      </c>
      <c r="H424" s="2">
        <f t="shared" si="20"/>
        <v>1120.7950000000001</v>
      </c>
    </row>
    <row r="425" spans="7:8" ht="15" customHeight="1" x14ac:dyDescent="0.3">
      <c r="G425" s="34">
        <f t="shared" si="21"/>
        <v>45818</v>
      </c>
      <c r="H425" s="2">
        <f t="shared" si="20"/>
        <v>1120.7950000000001</v>
      </c>
    </row>
    <row r="426" spans="7:8" ht="15" customHeight="1" x14ac:dyDescent="0.3">
      <c r="G426" s="34">
        <f t="shared" si="21"/>
        <v>45819</v>
      </c>
      <c r="H426" s="2">
        <f t="shared" si="20"/>
        <v>1120.7950000000001</v>
      </c>
    </row>
    <row r="427" spans="7:8" ht="15" customHeight="1" x14ac:dyDescent="0.3">
      <c r="G427" s="34">
        <f t="shared" si="21"/>
        <v>45820</v>
      </c>
      <c r="H427" s="2">
        <f t="shared" si="20"/>
        <v>1120.7950000000001</v>
      </c>
    </row>
    <row r="428" spans="7:8" ht="15" customHeight="1" x14ac:dyDescent="0.3">
      <c r="G428" s="34">
        <f t="shared" si="21"/>
        <v>45821</v>
      </c>
      <c r="H428" s="2">
        <f t="shared" si="20"/>
        <v>1120.7950000000001</v>
      </c>
    </row>
    <row r="429" spans="7:8" ht="15" customHeight="1" x14ac:dyDescent="0.3">
      <c r="G429" s="34">
        <f t="shared" si="21"/>
        <v>45822</v>
      </c>
      <c r="H429" s="2">
        <f t="shared" si="20"/>
        <v>1120.7950000000001</v>
      </c>
    </row>
    <row r="430" spans="7:8" ht="15" customHeight="1" x14ac:dyDescent="0.3">
      <c r="G430" s="34">
        <f t="shared" si="21"/>
        <v>45823</v>
      </c>
      <c r="H430" s="2">
        <f t="shared" si="20"/>
        <v>1376.15</v>
      </c>
    </row>
    <row r="431" spans="7:8" ht="15" customHeight="1" x14ac:dyDescent="0.3">
      <c r="G431" s="34">
        <f t="shared" si="21"/>
        <v>45824</v>
      </c>
      <c r="H431" s="2">
        <f t="shared" si="20"/>
        <v>1376.15</v>
      </c>
    </row>
    <row r="432" spans="7:8" ht="15" customHeight="1" x14ac:dyDescent="0.3">
      <c r="G432" s="34">
        <f t="shared" si="21"/>
        <v>45825</v>
      </c>
      <c r="H432" s="2">
        <f t="shared" si="20"/>
        <v>1376.15</v>
      </c>
    </row>
    <row r="433" spans="7:8" ht="15" customHeight="1" x14ac:dyDescent="0.3">
      <c r="G433" s="34">
        <f t="shared" si="21"/>
        <v>45826</v>
      </c>
      <c r="H433" s="2">
        <f t="shared" si="20"/>
        <v>1376.15</v>
      </c>
    </row>
    <row r="434" spans="7:8" ht="15" customHeight="1" x14ac:dyDescent="0.3">
      <c r="G434" s="34">
        <f t="shared" si="21"/>
        <v>45827</v>
      </c>
      <c r="H434" s="2">
        <f t="shared" si="20"/>
        <v>1376.15</v>
      </c>
    </row>
    <row r="435" spans="7:8" ht="15" customHeight="1" x14ac:dyDescent="0.3">
      <c r="G435" s="34">
        <f t="shared" si="21"/>
        <v>45828</v>
      </c>
      <c r="H435" s="2">
        <f t="shared" si="20"/>
        <v>1376.15</v>
      </c>
    </row>
    <row r="436" spans="7:8" ht="15" customHeight="1" x14ac:dyDescent="0.3">
      <c r="G436" s="34">
        <f t="shared" si="21"/>
        <v>45829</v>
      </c>
      <c r="H436" s="2">
        <f t="shared" si="20"/>
        <v>1376.15</v>
      </c>
    </row>
    <row r="437" spans="7:8" ht="15" customHeight="1" x14ac:dyDescent="0.3">
      <c r="G437" s="34">
        <f t="shared" si="21"/>
        <v>45830</v>
      </c>
      <c r="H437" s="2">
        <f t="shared" si="20"/>
        <v>1277.046</v>
      </c>
    </row>
    <row r="438" spans="7:8" ht="15" customHeight="1" x14ac:dyDescent="0.3">
      <c r="G438" s="34">
        <f t="shared" si="21"/>
        <v>45831</v>
      </c>
      <c r="H438" s="2">
        <f t="shared" si="20"/>
        <v>1277.046</v>
      </c>
    </row>
    <row r="439" spans="7:8" ht="15" customHeight="1" x14ac:dyDescent="0.3">
      <c r="G439" s="34">
        <f t="shared" si="21"/>
        <v>45832</v>
      </c>
      <c r="H439" s="2">
        <f t="shared" si="20"/>
        <v>1277.046</v>
      </c>
    </row>
    <row r="440" spans="7:8" ht="15" customHeight="1" x14ac:dyDescent="0.3">
      <c r="G440" s="34">
        <f t="shared" si="21"/>
        <v>45833</v>
      </c>
      <c r="H440" s="2">
        <f t="shared" si="20"/>
        <v>1277.046</v>
      </c>
    </row>
    <row r="441" spans="7:8" ht="15" customHeight="1" x14ac:dyDescent="0.3">
      <c r="G441" s="34">
        <f t="shared" si="21"/>
        <v>45834</v>
      </c>
      <c r="H441" s="2">
        <f t="shared" si="20"/>
        <v>1277.046</v>
      </c>
    </row>
    <row r="442" spans="7:8" ht="15" customHeight="1" x14ac:dyDescent="0.3">
      <c r="G442" s="34">
        <f t="shared" si="21"/>
        <v>45835</v>
      </c>
      <c r="H442" s="2">
        <f t="shared" si="20"/>
        <v>1277.046</v>
      </c>
    </row>
    <row r="443" spans="7:8" ht="15" customHeight="1" x14ac:dyDescent="0.3">
      <c r="G443" s="34">
        <f t="shared" si="21"/>
        <v>45836</v>
      </c>
      <c r="H443" s="2">
        <f t="shared" si="20"/>
        <v>1277.046</v>
      </c>
    </row>
    <row r="444" spans="7:8" ht="15" customHeight="1" x14ac:dyDescent="0.3">
      <c r="G444" s="34">
        <f t="shared" si="21"/>
        <v>45837</v>
      </c>
      <c r="H444" s="2">
        <f t="shared" si="20"/>
        <v>1092.712</v>
      </c>
    </row>
    <row r="445" spans="7:8" ht="15" customHeight="1" x14ac:dyDescent="0.3">
      <c r="G445" s="34">
        <f t="shared" si="21"/>
        <v>45838</v>
      </c>
      <c r="H445" s="2">
        <f t="shared" si="20"/>
        <v>1092.712</v>
      </c>
    </row>
    <row r="446" spans="7:8" ht="15" customHeight="1" x14ac:dyDescent="0.3">
      <c r="G446" s="34">
        <f t="shared" si="21"/>
        <v>45839</v>
      </c>
      <c r="H446" s="2">
        <f t="shared" si="20"/>
        <v>1092.712</v>
      </c>
    </row>
    <row r="447" spans="7:8" ht="15" customHeight="1" x14ac:dyDescent="0.3">
      <c r="G447" s="34">
        <f t="shared" si="21"/>
        <v>45840</v>
      </c>
      <c r="H447" s="2">
        <f t="shared" si="20"/>
        <v>1092.712</v>
      </c>
    </row>
    <row r="448" spans="7:8" ht="15" customHeight="1" x14ac:dyDescent="0.3">
      <c r="G448" s="34">
        <f t="shared" si="21"/>
        <v>45841</v>
      </c>
      <c r="H448" s="2">
        <f t="shared" si="20"/>
        <v>1092.712</v>
      </c>
    </row>
    <row r="449" spans="7:8" ht="15" customHeight="1" x14ac:dyDescent="0.3">
      <c r="G449" s="34">
        <f t="shared" si="21"/>
        <v>45842</v>
      </c>
      <c r="H449" s="2">
        <f t="shared" si="20"/>
        <v>1092.712</v>
      </c>
    </row>
    <row r="450" spans="7:8" ht="15" customHeight="1" x14ac:dyDescent="0.3">
      <c r="G450" s="34">
        <f t="shared" si="21"/>
        <v>45843</v>
      </c>
      <c r="H450" s="2">
        <f t="shared" si="20"/>
        <v>1092.712</v>
      </c>
    </row>
    <row r="451" spans="7:8" ht="15" customHeight="1" x14ac:dyDescent="0.3">
      <c r="G451" s="34">
        <f t="shared" si="21"/>
        <v>45844</v>
      </c>
      <c r="H451" s="2">
        <f t="shared" ref="H451:H514" si="22">LOOKUP(G451,D:D,E:E)</f>
        <v>1257.799</v>
      </c>
    </row>
    <row r="452" spans="7:8" ht="15" customHeight="1" x14ac:dyDescent="0.3">
      <c r="G452" s="34">
        <f t="shared" ref="G452:G515" si="23">G451+1</f>
        <v>45845</v>
      </c>
      <c r="H452" s="2">
        <f t="shared" si="22"/>
        <v>1257.799</v>
      </c>
    </row>
    <row r="453" spans="7:8" ht="15" customHeight="1" x14ac:dyDescent="0.3">
      <c r="G453" s="34">
        <f t="shared" si="23"/>
        <v>45846</v>
      </c>
      <c r="H453" s="2">
        <f t="shared" si="22"/>
        <v>1257.799</v>
      </c>
    </row>
    <row r="454" spans="7:8" ht="15" customHeight="1" x14ac:dyDescent="0.3">
      <c r="G454" s="34">
        <f t="shared" si="23"/>
        <v>45847</v>
      </c>
      <c r="H454" s="2">
        <f t="shared" si="22"/>
        <v>1257.799</v>
      </c>
    </row>
    <row r="455" spans="7:8" ht="15" customHeight="1" x14ac:dyDescent="0.3">
      <c r="G455" s="34">
        <f t="shared" si="23"/>
        <v>45848</v>
      </c>
      <c r="H455" s="2">
        <f t="shared" si="22"/>
        <v>1257.799</v>
      </c>
    </row>
    <row r="456" spans="7:8" ht="15" customHeight="1" x14ac:dyDescent="0.3">
      <c r="G456" s="34">
        <f t="shared" si="23"/>
        <v>45849</v>
      </c>
      <c r="H456" s="2">
        <f t="shared" si="22"/>
        <v>1257.799</v>
      </c>
    </row>
    <row r="457" spans="7:8" ht="15" customHeight="1" x14ac:dyDescent="0.3">
      <c r="G457" s="34">
        <f t="shared" si="23"/>
        <v>45850</v>
      </c>
      <c r="H457" s="2">
        <f t="shared" si="22"/>
        <v>1257.799</v>
      </c>
    </row>
    <row r="458" spans="7:8" ht="15" customHeight="1" x14ac:dyDescent="0.3">
      <c r="G458" s="34">
        <f t="shared" si="23"/>
        <v>45851</v>
      </c>
      <c r="H458" s="2">
        <f t="shared" si="22"/>
        <v>1147.011</v>
      </c>
    </row>
    <row r="459" spans="7:8" ht="15" customHeight="1" x14ac:dyDescent="0.3">
      <c r="G459" s="34">
        <f t="shared" si="23"/>
        <v>45852</v>
      </c>
      <c r="H459" s="2">
        <f t="shared" si="22"/>
        <v>1147.011</v>
      </c>
    </row>
    <row r="460" spans="7:8" ht="15" customHeight="1" x14ac:dyDescent="0.3">
      <c r="G460" s="34">
        <f t="shared" si="23"/>
        <v>45853</v>
      </c>
      <c r="H460" s="2">
        <f t="shared" si="22"/>
        <v>1147.011</v>
      </c>
    </row>
    <row r="461" spans="7:8" ht="15" customHeight="1" x14ac:dyDescent="0.3">
      <c r="G461" s="34">
        <f t="shared" si="23"/>
        <v>45854</v>
      </c>
      <c r="H461" s="2">
        <f t="shared" si="22"/>
        <v>1147.011</v>
      </c>
    </row>
    <row r="462" spans="7:8" ht="15" customHeight="1" x14ac:dyDescent="0.3">
      <c r="G462" s="34">
        <f t="shared" si="23"/>
        <v>45855</v>
      </c>
      <c r="H462" s="2">
        <f t="shared" si="22"/>
        <v>1147.011</v>
      </c>
    </row>
    <row r="463" spans="7:8" ht="15" customHeight="1" x14ac:dyDescent="0.3">
      <c r="G463" s="34">
        <f t="shared" si="23"/>
        <v>45856</v>
      </c>
      <c r="H463" s="2">
        <f t="shared" si="22"/>
        <v>1147.011</v>
      </c>
    </row>
    <row r="464" spans="7:8" ht="15" customHeight="1" x14ac:dyDescent="0.3">
      <c r="G464" s="34">
        <f t="shared" si="23"/>
        <v>45857</v>
      </c>
      <c r="H464" s="2">
        <f t="shared" si="22"/>
        <v>1147.011</v>
      </c>
    </row>
    <row r="465" spans="7:8" ht="15" customHeight="1" x14ac:dyDescent="0.3">
      <c r="G465" s="34">
        <f t="shared" si="23"/>
        <v>45858</v>
      </c>
      <c r="H465" s="2">
        <f t="shared" si="22"/>
        <v>1281.2760000000001</v>
      </c>
    </row>
    <row r="466" spans="7:8" ht="15" customHeight="1" x14ac:dyDescent="0.3">
      <c r="G466" s="34">
        <f t="shared" si="23"/>
        <v>45859</v>
      </c>
      <c r="H466" s="2">
        <f t="shared" si="22"/>
        <v>1281.2760000000001</v>
      </c>
    </row>
    <row r="467" spans="7:8" ht="15" customHeight="1" x14ac:dyDescent="0.3">
      <c r="G467" s="34">
        <f t="shared" si="23"/>
        <v>45860</v>
      </c>
      <c r="H467" s="2">
        <f t="shared" si="22"/>
        <v>1281.2760000000001</v>
      </c>
    </row>
    <row r="468" spans="7:8" ht="15" customHeight="1" x14ac:dyDescent="0.3">
      <c r="G468" s="34">
        <f t="shared" si="23"/>
        <v>45861</v>
      </c>
      <c r="H468" s="2">
        <f t="shared" si="22"/>
        <v>1281.2760000000001</v>
      </c>
    </row>
    <row r="469" spans="7:8" ht="15" customHeight="1" x14ac:dyDescent="0.3">
      <c r="G469" s="34">
        <f t="shared" si="23"/>
        <v>45862</v>
      </c>
      <c r="H469" s="2">
        <f t="shared" si="22"/>
        <v>1281.2760000000001</v>
      </c>
    </row>
    <row r="470" spans="7:8" ht="15" customHeight="1" x14ac:dyDescent="0.3">
      <c r="G470" s="34">
        <f t="shared" si="23"/>
        <v>45863</v>
      </c>
      <c r="H470" s="2">
        <f t="shared" si="22"/>
        <v>1281.2760000000001</v>
      </c>
    </row>
    <row r="471" spans="7:8" ht="15" customHeight="1" x14ac:dyDescent="0.3">
      <c r="G471" s="34">
        <f t="shared" si="23"/>
        <v>45864</v>
      </c>
      <c r="H471" s="2">
        <f t="shared" si="22"/>
        <v>1281.2760000000001</v>
      </c>
    </row>
    <row r="472" spans="7:8" ht="15" customHeight="1" x14ac:dyDescent="0.3">
      <c r="G472" s="34">
        <f t="shared" si="23"/>
        <v>45865</v>
      </c>
      <c r="H472" s="2">
        <f t="shared" si="22"/>
        <v>1137.203</v>
      </c>
    </row>
    <row r="473" spans="7:8" ht="15" customHeight="1" x14ac:dyDescent="0.3">
      <c r="G473" s="34">
        <f t="shared" si="23"/>
        <v>45866</v>
      </c>
      <c r="H473" s="2">
        <f t="shared" si="22"/>
        <v>1137.203</v>
      </c>
    </row>
    <row r="474" spans="7:8" ht="15" customHeight="1" x14ac:dyDescent="0.3">
      <c r="G474" s="34">
        <f t="shared" si="23"/>
        <v>45867</v>
      </c>
      <c r="H474" s="2">
        <f t="shared" si="22"/>
        <v>1137.203</v>
      </c>
    </row>
    <row r="475" spans="7:8" ht="15" customHeight="1" x14ac:dyDescent="0.3">
      <c r="G475" s="34">
        <f t="shared" si="23"/>
        <v>45868</v>
      </c>
      <c r="H475" s="2">
        <f t="shared" si="22"/>
        <v>1137.203</v>
      </c>
    </row>
    <row r="476" spans="7:8" ht="15" customHeight="1" x14ac:dyDescent="0.3">
      <c r="G476" s="34">
        <f t="shared" si="23"/>
        <v>45869</v>
      </c>
      <c r="H476" s="2">
        <f t="shared" si="22"/>
        <v>1137.203</v>
      </c>
    </row>
    <row r="477" spans="7:8" ht="15" customHeight="1" x14ac:dyDescent="0.3">
      <c r="G477" s="34">
        <f t="shared" si="23"/>
        <v>45870</v>
      </c>
      <c r="H477" s="2">
        <f t="shared" si="22"/>
        <v>1137.203</v>
      </c>
    </row>
    <row r="478" spans="7:8" ht="15" customHeight="1" x14ac:dyDescent="0.3">
      <c r="G478" s="34">
        <f t="shared" si="23"/>
        <v>45871</v>
      </c>
      <c r="H478" s="2">
        <f t="shared" si="22"/>
        <v>1137.203</v>
      </c>
    </row>
    <row r="479" spans="7:8" ht="15" customHeight="1" x14ac:dyDescent="0.3">
      <c r="G479" s="34">
        <f t="shared" si="23"/>
        <v>45872</v>
      </c>
      <c r="H479" s="2">
        <f t="shared" si="22"/>
        <v>1115.048</v>
      </c>
    </row>
    <row r="480" spans="7:8" ht="15" customHeight="1" x14ac:dyDescent="0.3">
      <c r="G480" s="34">
        <f t="shared" si="23"/>
        <v>45873</v>
      </c>
      <c r="H480" s="2">
        <f t="shared" si="22"/>
        <v>1115.048</v>
      </c>
    </row>
    <row r="481" spans="7:8" ht="15" customHeight="1" x14ac:dyDescent="0.3">
      <c r="G481" s="34">
        <f t="shared" si="23"/>
        <v>45874</v>
      </c>
      <c r="H481" s="2">
        <f t="shared" si="22"/>
        <v>1115.048</v>
      </c>
    </row>
    <row r="482" spans="7:8" ht="15" customHeight="1" x14ac:dyDescent="0.3">
      <c r="G482" s="34">
        <f t="shared" si="23"/>
        <v>45875</v>
      </c>
      <c r="H482" s="2">
        <f t="shared" si="22"/>
        <v>1115.048</v>
      </c>
    </row>
    <row r="483" spans="7:8" ht="15" customHeight="1" x14ac:dyDescent="0.3">
      <c r="G483" s="34">
        <f t="shared" si="23"/>
        <v>45876</v>
      </c>
      <c r="H483" s="2">
        <f t="shared" si="22"/>
        <v>1115.048</v>
      </c>
    </row>
    <row r="484" spans="7:8" ht="15" customHeight="1" x14ac:dyDescent="0.3">
      <c r="G484" s="34">
        <f t="shared" si="23"/>
        <v>45877</v>
      </c>
      <c r="H484" s="2">
        <f t="shared" si="22"/>
        <v>1115.048</v>
      </c>
    </row>
    <row r="485" spans="7:8" ht="15" customHeight="1" x14ac:dyDescent="0.3">
      <c r="G485" s="34">
        <f t="shared" si="23"/>
        <v>45878</v>
      </c>
      <c r="H485" s="2">
        <f t="shared" si="22"/>
        <v>1115.048</v>
      </c>
    </row>
    <row r="486" spans="7:8" ht="15" customHeight="1" x14ac:dyDescent="0.3">
      <c r="G486" s="34">
        <f t="shared" si="23"/>
        <v>45879</v>
      </c>
      <c r="H486" s="2">
        <f t="shared" si="22"/>
        <v>1235.0820000000001</v>
      </c>
    </row>
    <row r="487" spans="7:8" ht="15" customHeight="1" x14ac:dyDescent="0.3">
      <c r="G487" s="34">
        <f t="shared" si="23"/>
        <v>45880</v>
      </c>
      <c r="H487" s="2">
        <f t="shared" si="22"/>
        <v>1235.0820000000001</v>
      </c>
    </row>
    <row r="488" spans="7:8" ht="15" customHeight="1" x14ac:dyDescent="0.3">
      <c r="G488" s="34">
        <f t="shared" si="23"/>
        <v>45881</v>
      </c>
      <c r="H488" s="2">
        <f t="shared" si="22"/>
        <v>1235.0820000000001</v>
      </c>
    </row>
    <row r="489" spans="7:8" ht="15" customHeight="1" x14ac:dyDescent="0.3">
      <c r="G489" s="34">
        <f t="shared" si="23"/>
        <v>45882</v>
      </c>
      <c r="H489" s="2">
        <f t="shared" si="22"/>
        <v>1235.0820000000001</v>
      </c>
    </row>
    <row r="490" spans="7:8" ht="15" customHeight="1" x14ac:dyDescent="0.3">
      <c r="G490" s="34">
        <f t="shared" si="23"/>
        <v>45883</v>
      </c>
      <c r="H490" s="2">
        <f t="shared" si="22"/>
        <v>1235.0820000000001</v>
      </c>
    </row>
    <row r="491" spans="7:8" ht="15" customHeight="1" x14ac:dyDescent="0.3">
      <c r="G491" s="34">
        <f t="shared" si="23"/>
        <v>45884</v>
      </c>
      <c r="H491" s="2">
        <f t="shared" si="22"/>
        <v>1235.0820000000001</v>
      </c>
    </row>
    <row r="492" spans="7:8" ht="15" customHeight="1" x14ac:dyDescent="0.3">
      <c r="G492" s="34">
        <f t="shared" si="23"/>
        <v>45885</v>
      </c>
      <c r="H492" s="2">
        <f t="shared" si="22"/>
        <v>1235.0820000000001</v>
      </c>
    </row>
    <row r="493" spans="7:8" ht="15" customHeight="1" x14ac:dyDescent="0.3">
      <c r="G493" s="34">
        <f t="shared" si="23"/>
        <v>45886</v>
      </c>
      <c r="H493" s="2">
        <f t="shared" si="22"/>
        <v>1088.127</v>
      </c>
    </row>
    <row r="494" spans="7:8" ht="15" customHeight="1" x14ac:dyDescent="0.3">
      <c r="G494" s="34">
        <f t="shared" si="23"/>
        <v>45887</v>
      </c>
      <c r="H494" s="2">
        <f t="shared" si="22"/>
        <v>1088.127</v>
      </c>
    </row>
    <row r="495" spans="7:8" ht="15" customHeight="1" x14ac:dyDescent="0.3">
      <c r="G495" s="34">
        <f t="shared" si="23"/>
        <v>45888</v>
      </c>
      <c r="H495" s="2">
        <f t="shared" si="22"/>
        <v>1088.127</v>
      </c>
    </row>
    <row r="496" spans="7:8" ht="15" customHeight="1" x14ac:dyDescent="0.3">
      <c r="G496" s="34">
        <f t="shared" si="23"/>
        <v>45889</v>
      </c>
      <c r="H496" s="2">
        <f t="shared" si="22"/>
        <v>1088.127</v>
      </c>
    </row>
    <row r="497" spans="7:8" ht="15" customHeight="1" x14ac:dyDescent="0.3">
      <c r="G497" s="34">
        <f t="shared" si="23"/>
        <v>45890</v>
      </c>
      <c r="H497" s="2">
        <f t="shared" si="22"/>
        <v>1088.127</v>
      </c>
    </row>
    <row r="498" spans="7:8" ht="15" customHeight="1" x14ac:dyDescent="0.3">
      <c r="G498" s="34">
        <f t="shared" si="23"/>
        <v>45891</v>
      </c>
      <c r="H498" s="2">
        <f t="shared" si="22"/>
        <v>1088.127</v>
      </c>
    </row>
    <row r="499" spans="7:8" ht="15" customHeight="1" x14ac:dyDescent="0.3">
      <c r="G499" s="34">
        <f t="shared" si="23"/>
        <v>45892</v>
      </c>
      <c r="H499" s="2">
        <f t="shared" si="22"/>
        <v>1088.127</v>
      </c>
    </row>
    <row r="500" spans="7:8" ht="15" customHeight="1" x14ac:dyDescent="0.3">
      <c r="G500" s="34">
        <f t="shared" si="23"/>
        <v>45893</v>
      </c>
      <c r="H500" s="2">
        <f t="shared" si="22"/>
        <v>1344.9459999999999</v>
      </c>
    </row>
    <row r="501" spans="7:8" ht="15" customHeight="1" x14ac:dyDescent="0.3">
      <c r="G501" s="34">
        <f t="shared" si="23"/>
        <v>45894</v>
      </c>
      <c r="H501" s="2">
        <f t="shared" si="22"/>
        <v>1344.9459999999999</v>
      </c>
    </row>
    <row r="502" spans="7:8" ht="15" customHeight="1" x14ac:dyDescent="0.3">
      <c r="G502" s="34">
        <f t="shared" si="23"/>
        <v>45895</v>
      </c>
      <c r="H502" s="2">
        <f t="shared" si="22"/>
        <v>1344.9459999999999</v>
      </c>
    </row>
    <row r="503" spans="7:8" ht="15" customHeight="1" x14ac:dyDescent="0.3">
      <c r="G503" s="34">
        <f t="shared" si="23"/>
        <v>45896</v>
      </c>
      <c r="H503" s="2">
        <f t="shared" si="22"/>
        <v>1344.9459999999999</v>
      </c>
    </row>
    <row r="504" spans="7:8" ht="15" customHeight="1" x14ac:dyDescent="0.3">
      <c r="G504" s="34">
        <f t="shared" si="23"/>
        <v>45897</v>
      </c>
      <c r="H504" s="2">
        <f t="shared" si="22"/>
        <v>1344.9459999999999</v>
      </c>
    </row>
    <row r="505" spans="7:8" ht="15" customHeight="1" x14ac:dyDescent="0.3">
      <c r="G505" s="34">
        <f t="shared" si="23"/>
        <v>45898</v>
      </c>
      <c r="H505" s="2">
        <f t="shared" si="22"/>
        <v>1344.9459999999999</v>
      </c>
    </row>
    <row r="506" spans="7:8" ht="15" customHeight="1" x14ac:dyDescent="0.3">
      <c r="G506" s="34">
        <f t="shared" si="23"/>
        <v>45899</v>
      </c>
      <c r="H506" s="2">
        <f t="shared" si="22"/>
        <v>1344.9459999999999</v>
      </c>
    </row>
    <row r="507" spans="7:8" ht="15" customHeight="1" x14ac:dyDescent="0.3">
      <c r="G507" s="34">
        <f t="shared" si="23"/>
        <v>45900</v>
      </c>
      <c r="H507" s="2">
        <f t="shared" si="22"/>
        <v>1471.7439999999999</v>
      </c>
    </row>
    <row r="508" spans="7:8" ht="15" customHeight="1" x14ac:dyDescent="0.3">
      <c r="G508" s="34">
        <f t="shared" si="23"/>
        <v>45901</v>
      </c>
      <c r="H508" s="2">
        <f t="shared" si="22"/>
        <v>1471.7439999999999</v>
      </c>
    </row>
    <row r="509" spans="7:8" ht="15" customHeight="1" x14ac:dyDescent="0.3">
      <c r="G509" s="34">
        <f t="shared" si="23"/>
        <v>45902</v>
      </c>
      <c r="H509" s="2">
        <f t="shared" si="22"/>
        <v>1471.7439999999999</v>
      </c>
    </row>
    <row r="510" spans="7:8" ht="15" customHeight="1" x14ac:dyDescent="0.3">
      <c r="G510" s="34">
        <f t="shared" si="23"/>
        <v>45903</v>
      </c>
      <c r="H510" s="2">
        <f t="shared" si="22"/>
        <v>1471.7439999999999</v>
      </c>
    </row>
    <row r="511" spans="7:8" ht="15" customHeight="1" x14ac:dyDescent="0.3">
      <c r="G511" s="34">
        <f t="shared" si="23"/>
        <v>45904</v>
      </c>
      <c r="H511" s="2">
        <f t="shared" si="22"/>
        <v>1471.7439999999999</v>
      </c>
    </row>
    <row r="512" spans="7:8" ht="15" customHeight="1" x14ac:dyDescent="0.3">
      <c r="G512" s="34">
        <f t="shared" si="23"/>
        <v>45905</v>
      </c>
      <c r="H512" s="2">
        <f t="shared" si="22"/>
        <v>1471.7439999999999</v>
      </c>
    </row>
    <row r="513" spans="7:8" ht="15" customHeight="1" x14ac:dyDescent="0.3">
      <c r="G513" s="34">
        <f t="shared" si="23"/>
        <v>45906</v>
      </c>
      <c r="H513" s="2">
        <f t="shared" si="22"/>
        <v>1471.7439999999999</v>
      </c>
    </row>
    <row r="514" spans="7:8" ht="15" customHeight="1" x14ac:dyDescent="0.3">
      <c r="G514" s="34">
        <f t="shared" si="23"/>
        <v>45907</v>
      </c>
      <c r="H514" s="2">
        <f t="shared" si="22"/>
        <v>1421.7929999999999</v>
      </c>
    </row>
    <row r="515" spans="7:8" ht="15" customHeight="1" x14ac:dyDescent="0.3">
      <c r="G515" s="34">
        <f t="shared" si="23"/>
        <v>45908</v>
      </c>
      <c r="H515" s="2">
        <f t="shared" ref="H515:H578" si="24">LOOKUP(G515,D:D,E:E)</f>
        <v>1421.7929999999999</v>
      </c>
    </row>
    <row r="516" spans="7:8" ht="15" customHeight="1" x14ac:dyDescent="0.3">
      <c r="G516" s="34">
        <f t="shared" ref="G516:G579" si="25">G515+1</f>
        <v>45909</v>
      </c>
      <c r="H516" s="2">
        <f t="shared" si="24"/>
        <v>1421.7929999999999</v>
      </c>
    </row>
    <row r="517" spans="7:8" ht="15" customHeight="1" x14ac:dyDescent="0.3">
      <c r="G517" s="34">
        <f t="shared" si="25"/>
        <v>45910</v>
      </c>
      <c r="H517" s="2">
        <f t="shared" si="24"/>
        <v>1421.7929999999999</v>
      </c>
    </row>
    <row r="518" spans="7:8" ht="15" customHeight="1" x14ac:dyDescent="0.3">
      <c r="G518" s="34">
        <f t="shared" si="25"/>
        <v>45911</v>
      </c>
      <c r="H518" s="2">
        <f t="shared" si="24"/>
        <v>1421.7929999999999</v>
      </c>
    </row>
    <row r="519" spans="7:8" ht="15" customHeight="1" x14ac:dyDescent="0.3">
      <c r="G519" s="34">
        <f t="shared" si="25"/>
        <v>45912</v>
      </c>
      <c r="H519" s="2">
        <f t="shared" si="24"/>
        <v>1421.7929999999999</v>
      </c>
    </row>
    <row r="520" spans="7:8" ht="15" customHeight="1" x14ac:dyDescent="0.3">
      <c r="G520" s="34">
        <f t="shared" si="25"/>
        <v>45913</v>
      </c>
      <c r="H520" s="2">
        <f t="shared" si="24"/>
        <v>1421.7929999999999</v>
      </c>
    </row>
    <row r="521" spans="7:8" ht="15" customHeight="1" x14ac:dyDescent="0.3">
      <c r="G521" s="34">
        <f t="shared" si="25"/>
        <v>45914</v>
      </c>
      <c r="H521" s="2">
        <f t="shared" si="24"/>
        <v>1480.998</v>
      </c>
    </row>
    <row r="522" spans="7:8" ht="15" customHeight="1" x14ac:dyDescent="0.3">
      <c r="G522" s="34">
        <f t="shared" si="25"/>
        <v>45915</v>
      </c>
      <c r="H522" s="2">
        <f t="shared" si="24"/>
        <v>1480.998</v>
      </c>
    </row>
    <row r="523" spans="7:8" ht="15" customHeight="1" x14ac:dyDescent="0.3">
      <c r="G523" s="34">
        <f t="shared" si="25"/>
        <v>45916</v>
      </c>
      <c r="H523" s="2">
        <f t="shared" si="24"/>
        <v>1480.998</v>
      </c>
    </row>
    <row r="524" spans="7:8" ht="15" customHeight="1" x14ac:dyDescent="0.3">
      <c r="G524" s="34">
        <f t="shared" si="25"/>
        <v>45917</v>
      </c>
      <c r="H524" s="2">
        <f t="shared" si="24"/>
        <v>1480.998</v>
      </c>
    </row>
    <row r="525" spans="7:8" ht="15" customHeight="1" x14ac:dyDescent="0.3">
      <c r="G525" s="34">
        <f t="shared" si="25"/>
        <v>45918</v>
      </c>
      <c r="H525" s="2">
        <f t="shared" si="24"/>
        <v>1480.998</v>
      </c>
    </row>
    <row r="526" spans="7:8" ht="15" customHeight="1" x14ac:dyDescent="0.3">
      <c r="G526" s="34">
        <f t="shared" si="25"/>
        <v>45919</v>
      </c>
      <c r="H526" s="2">
        <f t="shared" si="24"/>
        <v>1480.998</v>
      </c>
    </row>
    <row r="527" spans="7:8" ht="15" customHeight="1" x14ac:dyDescent="0.3">
      <c r="G527" s="34">
        <f t="shared" si="25"/>
        <v>45920</v>
      </c>
      <c r="H527" s="2">
        <f t="shared" si="24"/>
        <v>1480.998</v>
      </c>
    </row>
    <row r="528" spans="7:8" ht="15" customHeight="1" x14ac:dyDescent="0.3">
      <c r="G528" s="34">
        <f t="shared" si="25"/>
        <v>45921</v>
      </c>
      <c r="H528" s="2">
        <f t="shared" si="24"/>
        <v>1542.4079999999999</v>
      </c>
    </row>
    <row r="529" spans="7:8" ht="15" customHeight="1" x14ac:dyDescent="0.3">
      <c r="G529" s="34">
        <f t="shared" si="25"/>
        <v>45922</v>
      </c>
      <c r="H529" s="2">
        <f t="shared" si="24"/>
        <v>1542.4079999999999</v>
      </c>
    </row>
    <row r="530" spans="7:8" ht="15" customHeight="1" x14ac:dyDescent="0.3">
      <c r="G530" s="34">
        <f t="shared" si="25"/>
        <v>45923</v>
      </c>
      <c r="H530" s="2">
        <f t="shared" si="24"/>
        <v>1542.4079999999999</v>
      </c>
    </row>
    <row r="531" spans="7:8" ht="15" customHeight="1" x14ac:dyDescent="0.3">
      <c r="G531" s="34">
        <f t="shared" si="25"/>
        <v>45924</v>
      </c>
      <c r="H531" s="2">
        <f t="shared" si="24"/>
        <v>1542.4079999999999</v>
      </c>
    </row>
    <row r="532" spans="7:8" ht="15" customHeight="1" x14ac:dyDescent="0.3">
      <c r="G532" s="34">
        <f t="shared" si="25"/>
        <v>45925</v>
      </c>
      <c r="H532" s="2">
        <f t="shared" si="24"/>
        <v>1542.4079999999999</v>
      </c>
    </row>
    <row r="533" spans="7:8" ht="15" customHeight="1" x14ac:dyDescent="0.3">
      <c r="G533" s="34">
        <f t="shared" si="25"/>
        <v>45926</v>
      </c>
      <c r="H533" s="2">
        <f t="shared" si="24"/>
        <v>1542.4079999999999</v>
      </c>
    </row>
    <row r="534" spans="7:8" ht="15" customHeight="1" x14ac:dyDescent="0.3">
      <c r="G534" s="34">
        <f t="shared" si="25"/>
        <v>45927</v>
      </c>
      <c r="H534" s="2">
        <f t="shared" si="24"/>
        <v>1542.4079999999999</v>
      </c>
    </row>
    <row r="535" spans="7:8" ht="15" customHeight="1" x14ac:dyDescent="0.3">
      <c r="G535" s="34">
        <f t="shared" si="25"/>
        <v>45928</v>
      </c>
      <c r="H535" s="2">
        <f t="shared" si="24"/>
        <v>1431.896</v>
      </c>
    </row>
    <row r="536" spans="7:8" ht="15" customHeight="1" x14ac:dyDescent="0.3">
      <c r="G536" s="34">
        <f t="shared" si="25"/>
        <v>45929</v>
      </c>
      <c r="H536" s="2">
        <f t="shared" si="24"/>
        <v>1431.896</v>
      </c>
    </row>
    <row r="537" spans="7:8" ht="15" customHeight="1" x14ac:dyDescent="0.3">
      <c r="G537" s="34">
        <f t="shared" si="25"/>
        <v>45930</v>
      </c>
      <c r="H537" s="2">
        <f t="shared" si="24"/>
        <v>1431.896</v>
      </c>
    </row>
    <row r="538" spans="7:8" ht="15" customHeight="1" x14ac:dyDescent="0.3">
      <c r="G538" s="34">
        <f t="shared" si="25"/>
        <v>45931</v>
      </c>
      <c r="H538" s="2">
        <f t="shared" si="24"/>
        <v>1431.896</v>
      </c>
    </row>
    <row r="539" spans="7:8" ht="15" customHeight="1" x14ac:dyDescent="0.3">
      <c r="G539" s="34">
        <f t="shared" si="25"/>
        <v>45932</v>
      </c>
      <c r="H539" s="2">
        <f t="shared" si="24"/>
        <v>1431.896</v>
      </c>
    </row>
    <row r="540" spans="7:8" ht="15" customHeight="1" x14ac:dyDescent="0.3">
      <c r="G540" s="34">
        <f t="shared" si="25"/>
        <v>45933</v>
      </c>
      <c r="H540" s="2">
        <f t="shared" si="24"/>
        <v>1431.896</v>
      </c>
    </row>
    <row r="541" spans="7:8" ht="15" customHeight="1" x14ac:dyDescent="0.3">
      <c r="G541" s="34">
        <f t="shared" si="25"/>
        <v>45934</v>
      </c>
      <c r="H541" s="2">
        <f t="shared" si="24"/>
        <v>1431.896</v>
      </c>
    </row>
    <row r="542" spans="7:8" ht="15" customHeight="1" x14ac:dyDescent="0.3">
      <c r="G542" s="34">
        <f t="shared" si="25"/>
        <v>45935</v>
      </c>
      <c r="H542" s="2">
        <f t="shared" si="24"/>
        <v>1537.2739999999999</v>
      </c>
    </row>
    <row r="543" spans="7:8" ht="15" customHeight="1" x14ac:dyDescent="0.3">
      <c r="G543" s="34">
        <f t="shared" si="25"/>
        <v>45936</v>
      </c>
      <c r="H543" s="2">
        <f t="shared" si="24"/>
        <v>1537.2739999999999</v>
      </c>
    </row>
    <row r="544" spans="7:8" ht="15" customHeight="1" x14ac:dyDescent="0.3">
      <c r="G544" s="34">
        <f t="shared" si="25"/>
        <v>45937</v>
      </c>
      <c r="H544" s="2">
        <f t="shared" si="24"/>
        <v>1537.2739999999999</v>
      </c>
    </row>
    <row r="545" spans="7:8" ht="15" customHeight="1" x14ac:dyDescent="0.3">
      <c r="G545" s="34">
        <f t="shared" si="25"/>
        <v>45938</v>
      </c>
      <c r="H545" s="2">
        <f t="shared" si="24"/>
        <v>1537.2739999999999</v>
      </c>
    </row>
    <row r="546" spans="7:8" ht="15" customHeight="1" x14ac:dyDescent="0.3">
      <c r="G546" s="34">
        <f t="shared" si="25"/>
        <v>45939</v>
      </c>
      <c r="H546" s="2">
        <f t="shared" si="24"/>
        <v>1537.2739999999999</v>
      </c>
    </row>
    <row r="547" spans="7:8" ht="15" customHeight="1" x14ac:dyDescent="0.3">
      <c r="G547" s="34">
        <f t="shared" si="25"/>
        <v>45940</v>
      </c>
      <c r="H547" s="2">
        <f t="shared" si="24"/>
        <v>1537.2739999999999</v>
      </c>
    </row>
    <row r="548" spans="7:8" ht="15" customHeight="1" x14ac:dyDescent="0.3">
      <c r="G548" s="34">
        <f t="shared" si="25"/>
        <v>45941</v>
      </c>
      <c r="H548" s="2">
        <f t="shared" si="24"/>
        <v>1537.2739999999999</v>
      </c>
    </row>
    <row r="549" spans="7:8" ht="15" customHeight="1" x14ac:dyDescent="0.3">
      <c r="G549" s="34">
        <f t="shared" si="25"/>
        <v>45942</v>
      </c>
      <c r="H549" s="2">
        <f t="shared" si="24"/>
        <v>1216.729</v>
      </c>
    </row>
    <row r="550" spans="7:8" ht="15" customHeight="1" x14ac:dyDescent="0.3">
      <c r="G550" s="34">
        <f t="shared" si="25"/>
        <v>45943</v>
      </c>
      <c r="H550" s="2">
        <f t="shared" si="24"/>
        <v>1216.729</v>
      </c>
    </row>
    <row r="551" spans="7:8" ht="15" customHeight="1" x14ac:dyDescent="0.3">
      <c r="G551" s="34">
        <f t="shared" si="25"/>
        <v>45944</v>
      </c>
      <c r="H551" s="2">
        <f t="shared" si="24"/>
        <v>1216.729</v>
      </c>
    </row>
    <row r="552" spans="7:8" ht="15" customHeight="1" x14ac:dyDescent="0.3">
      <c r="G552" s="34">
        <f t="shared" si="25"/>
        <v>45945</v>
      </c>
      <c r="H552" s="2">
        <f t="shared" si="24"/>
        <v>1216.729</v>
      </c>
    </row>
    <row r="553" spans="7:8" ht="15" customHeight="1" x14ac:dyDescent="0.3">
      <c r="G553" s="34">
        <f t="shared" si="25"/>
        <v>45946</v>
      </c>
      <c r="H553" s="2">
        <f t="shared" si="24"/>
        <v>1216.729</v>
      </c>
    </row>
    <row r="554" spans="7:8" ht="15" customHeight="1" x14ac:dyDescent="0.3">
      <c r="G554" s="34">
        <f t="shared" si="25"/>
        <v>45947</v>
      </c>
      <c r="H554" s="2">
        <f t="shared" si="24"/>
        <v>1216.729</v>
      </c>
    </row>
    <row r="555" spans="7:8" ht="15" customHeight="1" x14ac:dyDescent="0.3">
      <c r="G555" s="34">
        <f t="shared" si="25"/>
        <v>45948</v>
      </c>
      <c r="H555" s="2">
        <f t="shared" si="24"/>
        <v>1216.729</v>
      </c>
    </row>
    <row r="556" spans="7:8" ht="15" customHeight="1" x14ac:dyDescent="0.3">
      <c r="G556" s="34">
        <f t="shared" si="25"/>
        <v>45949</v>
      </c>
      <c r="H556" s="2">
        <f t="shared" si="24"/>
        <v>1120.7950000000001</v>
      </c>
    </row>
    <row r="557" spans="7:8" ht="15" customHeight="1" x14ac:dyDescent="0.3">
      <c r="G557" s="34">
        <f t="shared" si="25"/>
        <v>45950</v>
      </c>
      <c r="H557" s="2">
        <f t="shared" si="24"/>
        <v>1120.7950000000001</v>
      </c>
    </row>
    <row r="558" spans="7:8" ht="15" customHeight="1" x14ac:dyDescent="0.3">
      <c r="G558" s="34">
        <f t="shared" si="25"/>
        <v>45951</v>
      </c>
      <c r="H558" s="2">
        <f t="shared" si="24"/>
        <v>1120.7950000000001</v>
      </c>
    </row>
    <row r="559" spans="7:8" ht="15" customHeight="1" x14ac:dyDescent="0.3">
      <c r="G559" s="34">
        <f t="shared" si="25"/>
        <v>45952</v>
      </c>
      <c r="H559" s="2">
        <f t="shared" si="24"/>
        <v>1120.7950000000001</v>
      </c>
    </row>
    <row r="560" spans="7:8" ht="15" customHeight="1" x14ac:dyDescent="0.3">
      <c r="G560" s="34">
        <f t="shared" si="25"/>
        <v>45953</v>
      </c>
      <c r="H560" s="2">
        <f t="shared" si="24"/>
        <v>1120.7950000000001</v>
      </c>
    </row>
    <row r="561" spans="7:8" ht="15" customHeight="1" x14ac:dyDescent="0.3">
      <c r="G561" s="34">
        <f t="shared" si="25"/>
        <v>45954</v>
      </c>
      <c r="H561" s="2">
        <f t="shared" si="24"/>
        <v>1120.7950000000001</v>
      </c>
    </row>
    <row r="562" spans="7:8" ht="15" customHeight="1" x14ac:dyDescent="0.3">
      <c r="G562" s="34">
        <f t="shared" si="25"/>
        <v>45955</v>
      </c>
      <c r="H562" s="2">
        <f t="shared" si="24"/>
        <v>1120.7950000000001</v>
      </c>
    </row>
    <row r="563" spans="7:8" ht="15" customHeight="1" x14ac:dyDescent="0.3">
      <c r="G563" s="34">
        <f t="shared" si="25"/>
        <v>45956</v>
      </c>
      <c r="H563" s="2">
        <f t="shared" si="24"/>
        <v>1053.31</v>
      </c>
    </row>
    <row r="564" spans="7:8" ht="15" customHeight="1" x14ac:dyDescent="0.3">
      <c r="G564" s="34">
        <f t="shared" si="25"/>
        <v>45957</v>
      </c>
      <c r="H564" s="2">
        <f t="shared" si="24"/>
        <v>1053.31</v>
      </c>
    </row>
    <row r="565" spans="7:8" ht="15" customHeight="1" x14ac:dyDescent="0.3">
      <c r="G565" s="34">
        <f t="shared" si="25"/>
        <v>45958</v>
      </c>
      <c r="H565" s="2">
        <f t="shared" si="24"/>
        <v>1053.31</v>
      </c>
    </row>
    <row r="566" spans="7:8" ht="15" customHeight="1" x14ac:dyDescent="0.3">
      <c r="G566" s="34">
        <f t="shared" si="25"/>
        <v>45959</v>
      </c>
      <c r="H566" s="2">
        <f t="shared" si="24"/>
        <v>1053.31</v>
      </c>
    </row>
    <row r="567" spans="7:8" ht="15" customHeight="1" x14ac:dyDescent="0.3">
      <c r="G567" s="34">
        <f t="shared" si="25"/>
        <v>45960</v>
      </c>
      <c r="H567" s="2">
        <f t="shared" si="24"/>
        <v>1053.31</v>
      </c>
    </row>
    <row r="568" spans="7:8" ht="15" customHeight="1" x14ac:dyDescent="0.3">
      <c r="G568" s="34">
        <f t="shared" si="25"/>
        <v>45961</v>
      </c>
      <c r="H568" s="2">
        <f t="shared" si="24"/>
        <v>1053.31</v>
      </c>
    </row>
    <row r="569" spans="7:8" ht="15" customHeight="1" x14ac:dyDescent="0.3">
      <c r="G569" s="34">
        <f t="shared" si="25"/>
        <v>45962</v>
      </c>
      <c r="H569" s="2">
        <f t="shared" si="24"/>
        <v>1053.31</v>
      </c>
    </row>
    <row r="570" spans="7:8" ht="15" customHeight="1" x14ac:dyDescent="0.3">
      <c r="G570" s="34">
        <f t="shared" si="25"/>
        <v>45963</v>
      </c>
      <c r="H570" s="2">
        <f t="shared" si="24"/>
        <v>922.26800000000003</v>
      </c>
    </row>
    <row r="571" spans="7:8" ht="15" customHeight="1" x14ac:dyDescent="0.3">
      <c r="G571" s="34">
        <f t="shared" si="25"/>
        <v>45964</v>
      </c>
      <c r="H571" s="2">
        <f t="shared" si="24"/>
        <v>922.26800000000003</v>
      </c>
    </row>
    <row r="572" spans="7:8" ht="15" customHeight="1" x14ac:dyDescent="0.3">
      <c r="G572" s="34">
        <f t="shared" si="25"/>
        <v>45965</v>
      </c>
      <c r="H572" s="2">
        <f t="shared" si="24"/>
        <v>922.26800000000003</v>
      </c>
    </row>
    <row r="573" spans="7:8" ht="15" customHeight="1" x14ac:dyDescent="0.3">
      <c r="G573" s="34">
        <f t="shared" si="25"/>
        <v>45966</v>
      </c>
      <c r="H573" s="2">
        <f t="shared" si="24"/>
        <v>922.26800000000003</v>
      </c>
    </row>
    <row r="574" spans="7:8" ht="15" customHeight="1" x14ac:dyDescent="0.3">
      <c r="G574" s="34">
        <f t="shared" si="25"/>
        <v>45967</v>
      </c>
      <c r="H574" s="2">
        <f t="shared" si="24"/>
        <v>922.26800000000003</v>
      </c>
    </row>
    <row r="575" spans="7:8" ht="15" customHeight="1" x14ac:dyDescent="0.3">
      <c r="G575" s="34">
        <f t="shared" si="25"/>
        <v>45968</v>
      </c>
      <c r="H575" s="2">
        <f t="shared" si="24"/>
        <v>922.26800000000003</v>
      </c>
    </row>
    <row r="576" spans="7:8" ht="15" customHeight="1" x14ac:dyDescent="0.3">
      <c r="G576" s="34">
        <f t="shared" si="25"/>
        <v>45969</v>
      </c>
      <c r="H576" s="2">
        <f t="shared" si="24"/>
        <v>922.26800000000003</v>
      </c>
    </row>
    <row r="577" spans="7:8" ht="15" customHeight="1" x14ac:dyDescent="0.3">
      <c r="G577" s="34">
        <f t="shared" si="25"/>
        <v>45970</v>
      </c>
      <c r="H577" s="2">
        <f t="shared" si="24"/>
        <v>1239.9280000000001</v>
      </c>
    </row>
    <row r="578" spans="7:8" ht="15" customHeight="1" x14ac:dyDescent="0.3">
      <c r="G578" s="34">
        <f t="shared" si="25"/>
        <v>45971</v>
      </c>
      <c r="H578" s="2">
        <f t="shared" si="24"/>
        <v>1239.9280000000001</v>
      </c>
    </row>
    <row r="579" spans="7:8" ht="15" customHeight="1" x14ac:dyDescent="0.3">
      <c r="G579" s="34">
        <f t="shared" si="25"/>
        <v>45972</v>
      </c>
      <c r="H579" s="2">
        <f t="shared" ref="H579:H642" si="26">LOOKUP(G579,D:D,E:E)</f>
        <v>1239.9280000000001</v>
      </c>
    </row>
    <row r="580" spans="7:8" ht="15" customHeight="1" x14ac:dyDescent="0.3">
      <c r="G580" s="34">
        <f t="shared" ref="G580:G643" si="27">G579+1</f>
        <v>45973</v>
      </c>
      <c r="H580" s="2">
        <f t="shared" si="26"/>
        <v>1239.9280000000001</v>
      </c>
    </row>
    <row r="581" spans="7:8" ht="15" customHeight="1" x14ac:dyDescent="0.3">
      <c r="G581" s="34">
        <f t="shared" si="27"/>
        <v>45974</v>
      </c>
      <c r="H581" s="2">
        <f t="shared" si="26"/>
        <v>1239.9280000000001</v>
      </c>
    </row>
    <row r="582" spans="7:8" ht="15" customHeight="1" x14ac:dyDescent="0.3">
      <c r="G582" s="34">
        <f t="shared" si="27"/>
        <v>45975</v>
      </c>
      <c r="H582" s="2">
        <f t="shared" si="26"/>
        <v>1239.9280000000001</v>
      </c>
    </row>
    <row r="583" spans="7:8" ht="15" customHeight="1" x14ac:dyDescent="0.3">
      <c r="G583" s="34">
        <f t="shared" si="27"/>
        <v>45976</v>
      </c>
      <c r="H583" s="2">
        <f t="shared" si="26"/>
        <v>1239.9280000000001</v>
      </c>
    </row>
    <row r="584" spans="7:8" ht="15" customHeight="1" x14ac:dyDescent="0.3">
      <c r="G584" s="34">
        <f t="shared" si="27"/>
        <v>45977</v>
      </c>
      <c r="H584" s="2">
        <f t="shared" si="26"/>
        <v>1304.8</v>
      </c>
    </row>
    <row r="585" spans="7:8" ht="15" customHeight="1" x14ac:dyDescent="0.3">
      <c r="G585" s="34">
        <f t="shared" si="27"/>
        <v>45978</v>
      </c>
      <c r="H585" s="2">
        <f t="shared" si="26"/>
        <v>1304.8</v>
      </c>
    </row>
    <row r="586" spans="7:8" ht="15" customHeight="1" x14ac:dyDescent="0.3">
      <c r="G586" s="34">
        <f t="shared" si="27"/>
        <v>45979</v>
      </c>
      <c r="H586" s="2">
        <f t="shared" si="26"/>
        <v>1304.8</v>
      </c>
    </row>
    <row r="587" spans="7:8" ht="15" customHeight="1" x14ac:dyDescent="0.3">
      <c r="G587" s="34">
        <f t="shared" si="27"/>
        <v>45980</v>
      </c>
      <c r="H587" s="2">
        <f t="shared" si="26"/>
        <v>1304.8</v>
      </c>
    </row>
    <row r="588" spans="7:8" ht="15" customHeight="1" x14ac:dyDescent="0.3">
      <c r="G588" s="34">
        <f t="shared" si="27"/>
        <v>45981</v>
      </c>
      <c r="H588" s="2">
        <f t="shared" si="26"/>
        <v>1304.8</v>
      </c>
    </row>
    <row r="589" spans="7:8" ht="15" customHeight="1" x14ac:dyDescent="0.3">
      <c r="G589" s="34">
        <f t="shared" si="27"/>
        <v>45982</v>
      </c>
      <c r="H589" s="2">
        <f t="shared" si="26"/>
        <v>1304.8</v>
      </c>
    </row>
    <row r="590" spans="7:8" ht="15" customHeight="1" x14ac:dyDescent="0.3">
      <c r="G590" s="34">
        <f t="shared" si="27"/>
        <v>45983</v>
      </c>
      <c r="H590" s="2">
        <f t="shared" si="26"/>
        <v>1304.8</v>
      </c>
    </row>
    <row r="591" spans="7:8" ht="15" customHeight="1" x14ac:dyDescent="0.3">
      <c r="G591" s="34">
        <f t="shared" si="27"/>
        <v>45984</v>
      </c>
      <c r="H591" s="2">
        <f t="shared" si="26"/>
        <v>1368.3119999999999</v>
      </c>
    </row>
    <row r="592" spans="7:8" ht="15" customHeight="1" x14ac:dyDescent="0.3">
      <c r="G592" s="34">
        <f t="shared" si="27"/>
        <v>45985</v>
      </c>
      <c r="H592" s="2">
        <f t="shared" si="26"/>
        <v>1368.3119999999999</v>
      </c>
    </row>
    <row r="593" spans="7:8" ht="15" customHeight="1" x14ac:dyDescent="0.3">
      <c r="G593" s="34">
        <f t="shared" si="27"/>
        <v>45986</v>
      </c>
      <c r="H593" s="2">
        <f t="shared" si="26"/>
        <v>1368.3119999999999</v>
      </c>
    </row>
    <row r="594" spans="7:8" ht="15" customHeight="1" x14ac:dyDescent="0.3">
      <c r="G594" s="34">
        <f t="shared" si="27"/>
        <v>45987</v>
      </c>
      <c r="H594" s="2">
        <f t="shared" si="26"/>
        <v>1368.3119999999999</v>
      </c>
    </row>
    <row r="595" spans="7:8" ht="15" customHeight="1" x14ac:dyDescent="0.3">
      <c r="G595" s="34">
        <f t="shared" si="27"/>
        <v>45988</v>
      </c>
      <c r="H595" s="2">
        <f t="shared" si="26"/>
        <v>1368.3119999999999</v>
      </c>
    </row>
    <row r="596" spans="7:8" ht="15" customHeight="1" x14ac:dyDescent="0.3">
      <c r="G596" s="34">
        <f t="shared" si="27"/>
        <v>45989</v>
      </c>
      <c r="H596" s="2">
        <f t="shared" si="26"/>
        <v>1368.3119999999999</v>
      </c>
    </row>
    <row r="597" spans="7:8" ht="15" customHeight="1" x14ac:dyDescent="0.3">
      <c r="G597" s="34">
        <f t="shared" si="27"/>
        <v>45990</v>
      </c>
      <c r="H597" s="2">
        <f t="shared" si="26"/>
        <v>1368.3119999999999</v>
      </c>
    </row>
    <row r="598" spans="7:8" ht="15" customHeight="1" x14ac:dyDescent="0.3">
      <c r="G598" s="34">
        <f t="shared" si="27"/>
        <v>45991</v>
      </c>
      <c r="H598" s="2">
        <f t="shared" si="26"/>
        <v>1137.7660000000001</v>
      </c>
    </row>
    <row r="599" spans="7:8" ht="15" customHeight="1" x14ac:dyDescent="0.3">
      <c r="G599" s="34">
        <f t="shared" si="27"/>
        <v>45992</v>
      </c>
      <c r="H599" s="2">
        <f t="shared" si="26"/>
        <v>1137.7660000000001</v>
      </c>
    </row>
    <row r="600" spans="7:8" ht="15" customHeight="1" x14ac:dyDescent="0.3">
      <c r="G600" s="34">
        <f t="shared" si="27"/>
        <v>45993</v>
      </c>
      <c r="H600" s="2">
        <f t="shared" si="26"/>
        <v>1137.7660000000001</v>
      </c>
    </row>
    <row r="601" spans="7:8" ht="15" customHeight="1" x14ac:dyDescent="0.3">
      <c r="G601" s="34">
        <f t="shared" si="27"/>
        <v>45994</v>
      </c>
      <c r="H601" s="2">
        <f t="shared" si="26"/>
        <v>1137.7660000000001</v>
      </c>
    </row>
    <row r="602" spans="7:8" ht="15" customHeight="1" x14ac:dyDescent="0.3">
      <c r="G602" s="34">
        <f t="shared" si="27"/>
        <v>45995</v>
      </c>
      <c r="H602" s="2">
        <f t="shared" si="26"/>
        <v>1137.7660000000001</v>
      </c>
    </row>
    <row r="603" spans="7:8" ht="15" customHeight="1" x14ac:dyDescent="0.3">
      <c r="G603" s="34">
        <f t="shared" si="27"/>
        <v>45996</v>
      </c>
      <c r="H603" s="2">
        <f t="shared" si="26"/>
        <v>1137.7660000000001</v>
      </c>
    </row>
    <row r="604" spans="7:8" ht="15" customHeight="1" x14ac:dyDescent="0.3">
      <c r="G604" s="34">
        <f t="shared" si="27"/>
        <v>45997</v>
      </c>
      <c r="H604" s="2">
        <f t="shared" si="26"/>
        <v>1137.7660000000001</v>
      </c>
    </row>
    <row r="605" spans="7:8" ht="15" customHeight="1" x14ac:dyDescent="0.3">
      <c r="G605" s="34">
        <f t="shared" si="27"/>
        <v>45998</v>
      </c>
      <c r="H605" s="2">
        <f t="shared" si="26"/>
        <v>1260.4079999999999</v>
      </c>
    </row>
    <row r="606" spans="7:8" ht="15" customHeight="1" x14ac:dyDescent="0.3">
      <c r="G606" s="34">
        <f t="shared" si="27"/>
        <v>45999</v>
      </c>
      <c r="H606" s="2">
        <f t="shared" si="26"/>
        <v>1260.4079999999999</v>
      </c>
    </row>
    <row r="607" spans="7:8" ht="15" customHeight="1" x14ac:dyDescent="0.3">
      <c r="G607" s="34">
        <f t="shared" si="27"/>
        <v>46000</v>
      </c>
      <c r="H607" s="2">
        <f t="shared" si="26"/>
        <v>1260.4079999999999</v>
      </c>
    </row>
    <row r="608" spans="7:8" ht="15" customHeight="1" x14ac:dyDescent="0.3">
      <c r="G608" s="34">
        <f t="shared" si="27"/>
        <v>46001</v>
      </c>
      <c r="H608" s="2">
        <f t="shared" si="26"/>
        <v>1260.4079999999999</v>
      </c>
    </row>
    <row r="609" spans="7:8" ht="15" customHeight="1" x14ac:dyDescent="0.3">
      <c r="G609" s="34">
        <f t="shared" si="27"/>
        <v>46002</v>
      </c>
      <c r="H609" s="2">
        <f t="shared" si="26"/>
        <v>1260.4079999999999</v>
      </c>
    </row>
    <row r="610" spans="7:8" ht="15" customHeight="1" x14ac:dyDescent="0.3">
      <c r="G610" s="34">
        <f t="shared" si="27"/>
        <v>46003</v>
      </c>
      <c r="H610" s="2">
        <f t="shared" si="26"/>
        <v>1260.4079999999999</v>
      </c>
    </row>
    <row r="611" spans="7:8" ht="15" customHeight="1" x14ac:dyDescent="0.3">
      <c r="G611" s="34">
        <f t="shared" si="27"/>
        <v>46004</v>
      </c>
      <c r="H611" s="2">
        <f t="shared" si="26"/>
        <v>1260.4079999999999</v>
      </c>
    </row>
    <row r="612" spans="7:8" ht="15" customHeight="1" x14ac:dyDescent="0.3">
      <c r="G612" s="34">
        <f t="shared" si="27"/>
        <v>46005</v>
      </c>
      <c r="H612" s="2">
        <f t="shared" si="26"/>
        <v>1316.9659999999999</v>
      </c>
    </row>
    <row r="613" spans="7:8" ht="15" customHeight="1" x14ac:dyDescent="0.3">
      <c r="G613" s="34">
        <f t="shared" si="27"/>
        <v>46006</v>
      </c>
      <c r="H613" s="2">
        <f t="shared" si="26"/>
        <v>1316.9659999999999</v>
      </c>
    </row>
    <row r="614" spans="7:8" ht="15" customHeight="1" x14ac:dyDescent="0.3">
      <c r="G614" s="34">
        <f t="shared" si="27"/>
        <v>46007</v>
      </c>
      <c r="H614" s="2">
        <f t="shared" si="26"/>
        <v>1316.9659999999999</v>
      </c>
    </row>
    <row r="615" spans="7:8" ht="15" customHeight="1" x14ac:dyDescent="0.3">
      <c r="G615" s="34">
        <f t="shared" si="27"/>
        <v>46008</v>
      </c>
      <c r="H615" s="2">
        <f t="shared" si="26"/>
        <v>1316.9659999999999</v>
      </c>
    </row>
    <row r="616" spans="7:8" ht="15" customHeight="1" x14ac:dyDescent="0.3">
      <c r="G616" s="34">
        <f t="shared" si="27"/>
        <v>46009</v>
      </c>
      <c r="H616" s="2">
        <f t="shared" si="26"/>
        <v>1316.9659999999999</v>
      </c>
    </row>
    <row r="617" spans="7:8" ht="15" customHeight="1" x14ac:dyDescent="0.3">
      <c r="G617" s="34">
        <f t="shared" si="27"/>
        <v>46010</v>
      </c>
      <c r="H617" s="2">
        <f t="shared" si="26"/>
        <v>1316.9659999999999</v>
      </c>
    </row>
    <row r="618" spans="7:8" ht="15" customHeight="1" x14ac:dyDescent="0.3">
      <c r="G618" s="34">
        <f t="shared" si="27"/>
        <v>46011</v>
      </c>
      <c r="H618" s="2">
        <f t="shared" si="26"/>
        <v>1316.9659999999999</v>
      </c>
    </row>
    <row r="619" spans="7:8" ht="15" customHeight="1" x14ac:dyDescent="0.3">
      <c r="G619" s="34">
        <f t="shared" si="27"/>
        <v>46012</v>
      </c>
      <c r="H619" s="2">
        <f t="shared" si="26"/>
        <v>1419.3440000000001</v>
      </c>
    </row>
    <row r="620" spans="7:8" ht="15" customHeight="1" x14ac:dyDescent="0.3">
      <c r="G620" s="34">
        <f t="shared" si="27"/>
        <v>46013</v>
      </c>
      <c r="H620" s="2">
        <f t="shared" si="26"/>
        <v>1419.3440000000001</v>
      </c>
    </row>
    <row r="621" spans="7:8" ht="15" customHeight="1" x14ac:dyDescent="0.3">
      <c r="G621" s="34">
        <f t="shared" si="27"/>
        <v>46014</v>
      </c>
      <c r="H621" s="2">
        <f t="shared" si="26"/>
        <v>1419.3440000000001</v>
      </c>
    </row>
    <row r="622" spans="7:8" ht="15" customHeight="1" x14ac:dyDescent="0.3">
      <c r="G622" s="34">
        <f t="shared" si="27"/>
        <v>46015</v>
      </c>
      <c r="H622" s="2">
        <f t="shared" si="26"/>
        <v>1419.3440000000001</v>
      </c>
    </row>
    <row r="623" spans="7:8" ht="15" customHeight="1" x14ac:dyDescent="0.3">
      <c r="G623" s="34">
        <f t="shared" si="27"/>
        <v>46016</v>
      </c>
      <c r="H623" s="2">
        <f t="shared" si="26"/>
        <v>1419.3440000000001</v>
      </c>
    </row>
    <row r="624" spans="7:8" ht="15" customHeight="1" x14ac:dyDescent="0.3">
      <c r="G624" s="34">
        <f t="shared" si="27"/>
        <v>46017</v>
      </c>
      <c r="H624" s="2">
        <f t="shared" si="26"/>
        <v>1419.3440000000001</v>
      </c>
    </row>
    <row r="625" spans="7:8" ht="15" customHeight="1" x14ac:dyDescent="0.3">
      <c r="G625" s="34">
        <f t="shared" si="27"/>
        <v>46018</v>
      </c>
      <c r="H625" s="2">
        <f t="shared" si="26"/>
        <v>1419.3440000000001</v>
      </c>
    </row>
    <row r="626" spans="7:8" ht="15" customHeight="1" x14ac:dyDescent="0.3">
      <c r="G626" s="34">
        <f t="shared" si="27"/>
        <v>46019</v>
      </c>
      <c r="H626" s="2">
        <f t="shared" si="26"/>
        <v>1472.1189999999999</v>
      </c>
    </row>
    <row r="627" spans="7:8" ht="15" customHeight="1" x14ac:dyDescent="0.3">
      <c r="G627" s="34">
        <f t="shared" si="27"/>
        <v>46020</v>
      </c>
      <c r="H627" s="2">
        <f t="shared" si="26"/>
        <v>1472.1189999999999</v>
      </c>
    </row>
    <row r="628" spans="7:8" ht="15" customHeight="1" x14ac:dyDescent="0.3">
      <c r="G628" s="34">
        <f t="shared" si="27"/>
        <v>46021</v>
      </c>
      <c r="H628" s="2">
        <f t="shared" si="26"/>
        <v>1472.1189999999999</v>
      </c>
    </row>
    <row r="629" spans="7:8" ht="15" customHeight="1" x14ac:dyDescent="0.3">
      <c r="G629" s="34">
        <f t="shared" si="27"/>
        <v>46022</v>
      </c>
      <c r="H629" s="2">
        <f t="shared" si="26"/>
        <v>1472.1189999999999</v>
      </c>
    </row>
    <row r="630" spans="7:8" ht="15" customHeight="1" x14ac:dyDescent="0.3">
      <c r="G630" s="34">
        <f t="shared" si="27"/>
        <v>46023</v>
      </c>
      <c r="H630" s="2">
        <f t="shared" si="26"/>
        <v>1472.1189999999999</v>
      </c>
    </row>
    <row r="631" spans="7:8" ht="15" customHeight="1" x14ac:dyDescent="0.3">
      <c r="G631" s="34">
        <f t="shared" si="27"/>
        <v>46024</v>
      </c>
      <c r="H631" s="2">
        <f t="shared" si="26"/>
        <v>1472.1189999999999</v>
      </c>
    </row>
    <row r="632" spans="7:8" ht="15" customHeight="1" x14ac:dyDescent="0.3">
      <c r="G632" s="34">
        <f t="shared" si="27"/>
        <v>46025</v>
      </c>
      <c r="H632" s="2">
        <f t="shared" si="26"/>
        <v>1472.1189999999999</v>
      </c>
    </row>
    <row r="633" spans="7:8" ht="15" customHeight="1" x14ac:dyDescent="0.3">
      <c r="G633" s="34">
        <f t="shared" si="27"/>
        <v>46026</v>
      </c>
      <c r="H633" s="2">
        <f t="shared" si="26"/>
        <v>1242.2539999999999</v>
      </c>
    </row>
    <row r="634" spans="7:8" ht="15" customHeight="1" x14ac:dyDescent="0.3">
      <c r="G634" s="34">
        <f t="shared" si="27"/>
        <v>46027</v>
      </c>
      <c r="H634" s="2">
        <f t="shared" si="26"/>
        <v>1242.2539999999999</v>
      </c>
    </row>
    <row r="635" spans="7:8" ht="15" customHeight="1" x14ac:dyDescent="0.3">
      <c r="G635" s="34">
        <f t="shared" si="27"/>
        <v>46028</v>
      </c>
      <c r="H635" s="2">
        <f t="shared" si="26"/>
        <v>1242.2539999999999</v>
      </c>
    </row>
    <row r="636" spans="7:8" ht="15" customHeight="1" x14ac:dyDescent="0.3">
      <c r="G636" s="34">
        <f t="shared" si="27"/>
        <v>46029</v>
      </c>
      <c r="H636" s="2">
        <f t="shared" si="26"/>
        <v>1242.2539999999999</v>
      </c>
    </row>
    <row r="637" spans="7:8" ht="15" customHeight="1" x14ac:dyDescent="0.3">
      <c r="G637" s="34">
        <f t="shared" si="27"/>
        <v>46030</v>
      </c>
      <c r="H637" s="2">
        <f t="shared" si="26"/>
        <v>1242.2539999999999</v>
      </c>
    </row>
    <row r="638" spans="7:8" ht="15" customHeight="1" x14ac:dyDescent="0.3">
      <c r="G638" s="34">
        <f t="shared" si="27"/>
        <v>46031</v>
      </c>
      <c r="H638" s="2">
        <f t="shared" si="26"/>
        <v>1242.2539999999999</v>
      </c>
    </row>
    <row r="639" spans="7:8" ht="15" customHeight="1" x14ac:dyDescent="0.3">
      <c r="G639" s="34">
        <f t="shared" si="27"/>
        <v>46032</v>
      </c>
      <c r="H639" s="2">
        <f t="shared" si="26"/>
        <v>1242.2539999999999</v>
      </c>
    </row>
    <row r="640" spans="7:8" ht="15" customHeight="1" x14ac:dyDescent="0.3">
      <c r="G640" s="34">
        <f t="shared" si="27"/>
        <v>46033</v>
      </c>
      <c r="H640" s="2">
        <f t="shared" si="26"/>
        <v>1165.9290000000001</v>
      </c>
    </row>
    <row r="641" spans="7:8" ht="15" customHeight="1" x14ac:dyDescent="0.3">
      <c r="G641" s="34">
        <f t="shared" si="27"/>
        <v>46034</v>
      </c>
      <c r="H641" s="2">
        <f t="shared" si="26"/>
        <v>1165.9290000000001</v>
      </c>
    </row>
    <row r="642" spans="7:8" ht="15" customHeight="1" x14ac:dyDescent="0.3">
      <c r="G642" s="34">
        <f t="shared" si="27"/>
        <v>46035</v>
      </c>
      <c r="H642" s="2">
        <f t="shared" si="26"/>
        <v>1165.9290000000001</v>
      </c>
    </row>
    <row r="643" spans="7:8" ht="15" customHeight="1" x14ac:dyDescent="0.3">
      <c r="G643" s="34">
        <f t="shared" si="27"/>
        <v>46036</v>
      </c>
      <c r="H643" s="2">
        <f t="shared" ref="H643:H706" si="28">LOOKUP(G643,D:D,E:E)</f>
        <v>1165.9290000000001</v>
      </c>
    </row>
    <row r="644" spans="7:8" ht="15" customHeight="1" x14ac:dyDescent="0.3">
      <c r="G644" s="34">
        <f t="shared" ref="G644:G707" si="29">G643+1</f>
        <v>46037</v>
      </c>
      <c r="H644" s="2">
        <f t="shared" si="28"/>
        <v>1165.9290000000001</v>
      </c>
    </row>
    <row r="645" spans="7:8" ht="15" customHeight="1" x14ac:dyDescent="0.3">
      <c r="G645" s="34">
        <f t="shared" si="29"/>
        <v>46038</v>
      </c>
      <c r="H645" s="2">
        <f t="shared" si="28"/>
        <v>1165.9290000000001</v>
      </c>
    </row>
    <row r="646" spans="7:8" ht="15" customHeight="1" x14ac:dyDescent="0.3">
      <c r="G646" s="34">
        <f t="shared" si="29"/>
        <v>46039</v>
      </c>
      <c r="H646" s="2">
        <f t="shared" si="28"/>
        <v>1165.9290000000001</v>
      </c>
    </row>
    <row r="647" spans="7:8" ht="15" customHeight="1" x14ac:dyDescent="0.3">
      <c r="G647" s="34">
        <f t="shared" si="29"/>
        <v>46040</v>
      </c>
      <c r="H647" s="2">
        <f t="shared" si="28"/>
        <v>1175.444</v>
      </c>
    </row>
    <row r="648" spans="7:8" ht="15" customHeight="1" x14ac:dyDescent="0.3">
      <c r="G648" s="34">
        <f t="shared" si="29"/>
        <v>46041</v>
      </c>
      <c r="H648" s="2">
        <f t="shared" si="28"/>
        <v>1175.444</v>
      </c>
    </row>
    <row r="649" spans="7:8" ht="15" customHeight="1" x14ac:dyDescent="0.3">
      <c r="G649" s="34">
        <f t="shared" si="29"/>
        <v>46042</v>
      </c>
      <c r="H649" s="2">
        <f t="shared" si="28"/>
        <v>1175.444</v>
      </c>
    </row>
    <row r="650" spans="7:8" ht="15" customHeight="1" x14ac:dyDescent="0.3">
      <c r="G650" s="34">
        <f t="shared" si="29"/>
        <v>46043</v>
      </c>
      <c r="H650" s="2">
        <f t="shared" si="28"/>
        <v>1175.444</v>
      </c>
    </row>
    <row r="651" spans="7:8" ht="15" customHeight="1" x14ac:dyDescent="0.3">
      <c r="G651" s="34">
        <f t="shared" si="29"/>
        <v>46044</v>
      </c>
      <c r="H651" s="2">
        <f t="shared" si="28"/>
        <v>1175.444</v>
      </c>
    </row>
    <row r="652" spans="7:8" ht="15" customHeight="1" x14ac:dyDescent="0.3">
      <c r="G652" s="34">
        <f t="shared" si="29"/>
        <v>46045</v>
      </c>
      <c r="H652" s="2">
        <f t="shared" si="28"/>
        <v>1175.444</v>
      </c>
    </row>
    <row r="653" spans="7:8" ht="15" customHeight="1" x14ac:dyDescent="0.3">
      <c r="G653" s="34">
        <f t="shared" si="29"/>
        <v>46046</v>
      </c>
      <c r="H653" s="2">
        <f t="shared" si="28"/>
        <v>1175.444</v>
      </c>
    </row>
    <row r="654" spans="7:8" ht="15" customHeight="1" x14ac:dyDescent="0.3">
      <c r="G654" s="34">
        <f t="shared" si="29"/>
        <v>46047</v>
      </c>
      <c r="H654" s="2">
        <f t="shared" si="28"/>
        <v>1291.6759999999999</v>
      </c>
    </row>
    <row r="655" spans="7:8" ht="15" customHeight="1" x14ac:dyDescent="0.3">
      <c r="G655" s="34">
        <f t="shared" si="29"/>
        <v>46048</v>
      </c>
      <c r="H655" s="2">
        <f t="shared" si="28"/>
        <v>1291.6759999999999</v>
      </c>
    </row>
    <row r="656" spans="7:8" ht="15" customHeight="1" x14ac:dyDescent="0.3">
      <c r="G656" s="34">
        <f t="shared" si="29"/>
        <v>46049</v>
      </c>
      <c r="H656" s="2">
        <f t="shared" si="28"/>
        <v>1291.6759999999999</v>
      </c>
    </row>
    <row r="657" spans="7:8" ht="15" customHeight="1" x14ac:dyDescent="0.3">
      <c r="G657" s="34">
        <f t="shared" si="29"/>
        <v>46050</v>
      </c>
      <c r="H657" s="2">
        <f t="shared" si="28"/>
        <v>1291.6759999999999</v>
      </c>
    </row>
    <row r="658" spans="7:8" ht="15" customHeight="1" x14ac:dyDescent="0.3">
      <c r="G658" s="34">
        <f t="shared" si="29"/>
        <v>46051</v>
      </c>
      <c r="H658" s="2">
        <f t="shared" si="28"/>
        <v>1291.6759999999999</v>
      </c>
    </row>
    <row r="659" spans="7:8" ht="15" customHeight="1" x14ac:dyDescent="0.3">
      <c r="G659" s="34">
        <f t="shared" si="29"/>
        <v>46052</v>
      </c>
      <c r="H659" s="2">
        <f t="shared" si="28"/>
        <v>1291.6759999999999</v>
      </c>
    </row>
    <row r="660" spans="7:8" ht="15" customHeight="1" x14ac:dyDescent="0.3">
      <c r="G660" s="34">
        <f t="shared" si="29"/>
        <v>46053</v>
      </c>
      <c r="H660" s="2">
        <f t="shared" si="28"/>
        <v>1291.6759999999999</v>
      </c>
    </row>
    <row r="661" spans="7:8" ht="15" customHeight="1" x14ac:dyDescent="0.3">
      <c r="G661" s="34">
        <f t="shared" si="29"/>
        <v>46054</v>
      </c>
      <c r="H661" s="2">
        <f t="shared" si="28"/>
        <v>1037.058</v>
      </c>
    </row>
    <row r="662" spans="7:8" ht="15" customHeight="1" x14ac:dyDescent="0.3">
      <c r="G662" s="34">
        <f t="shared" si="29"/>
        <v>46055</v>
      </c>
      <c r="H662" s="2">
        <f t="shared" si="28"/>
        <v>1037.058</v>
      </c>
    </row>
    <row r="663" spans="7:8" ht="15" customHeight="1" x14ac:dyDescent="0.3">
      <c r="G663" s="34">
        <f t="shared" si="29"/>
        <v>46056</v>
      </c>
      <c r="H663" s="2">
        <f t="shared" si="28"/>
        <v>1037.058</v>
      </c>
    </row>
    <row r="664" spans="7:8" ht="15" customHeight="1" x14ac:dyDescent="0.3">
      <c r="G664" s="34">
        <f t="shared" si="29"/>
        <v>46057</v>
      </c>
      <c r="H664" s="2">
        <f t="shared" si="28"/>
        <v>1037.058</v>
      </c>
    </row>
    <row r="665" spans="7:8" ht="15" customHeight="1" x14ac:dyDescent="0.3">
      <c r="G665" s="34">
        <f t="shared" si="29"/>
        <v>46058</v>
      </c>
      <c r="H665" s="2">
        <f t="shared" si="28"/>
        <v>1037.058</v>
      </c>
    </row>
    <row r="666" spans="7:8" ht="15" customHeight="1" x14ac:dyDescent="0.3">
      <c r="G666" s="34">
        <f t="shared" si="29"/>
        <v>46059</v>
      </c>
      <c r="H666" s="2">
        <f t="shared" si="28"/>
        <v>1037.058</v>
      </c>
    </row>
    <row r="667" spans="7:8" ht="15" customHeight="1" x14ac:dyDescent="0.3">
      <c r="G667" s="34">
        <f t="shared" si="29"/>
        <v>46060</v>
      </c>
      <c r="H667" s="2">
        <f t="shared" si="28"/>
        <v>1037.058</v>
      </c>
    </row>
    <row r="668" spans="7:8" ht="15" customHeight="1" x14ac:dyDescent="0.3">
      <c r="G668" s="34">
        <f t="shared" si="29"/>
        <v>46061</v>
      </c>
      <c r="H668" s="2">
        <f t="shared" si="28"/>
        <v>1117.76</v>
      </c>
    </row>
    <row r="669" spans="7:8" ht="15" customHeight="1" x14ac:dyDescent="0.3">
      <c r="G669" s="34">
        <f t="shared" si="29"/>
        <v>46062</v>
      </c>
      <c r="H669" s="2">
        <f t="shared" si="28"/>
        <v>1117.76</v>
      </c>
    </row>
    <row r="670" spans="7:8" ht="15" customHeight="1" x14ac:dyDescent="0.3">
      <c r="G670" s="34">
        <f t="shared" si="29"/>
        <v>46063</v>
      </c>
      <c r="H670" s="2">
        <f t="shared" si="28"/>
        <v>1117.76</v>
      </c>
    </row>
    <row r="671" spans="7:8" ht="15" customHeight="1" x14ac:dyDescent="0.3">
      <c r="G671" s="34">
        <f t="shared" si="29"/>
        <v>46064</v>
      </c>
      <c r="H671" s="2">
        <f t="shared" si="28"/>
        <v>1117.76</v>
      </c>
    </row>
    <row r="672" spans="7:8" ht="15" customHeight="1" x14ac:dyDescent="0.3">
      <c r="G672" s="34">
        <f t="shared" si="29"/>
        <v>46065</v>
      </c>
      <c r="H672" s="2">
        <f t="shared" si="28"/>
        <v>1117.76</v>
      </c>
    </row>
    <row r="673" spans="7:8" ht="15" customHeight="1" x14ac:dyDescent="0.3">
      <c r="G673" s="34">
        <f t="shared" si="29"/>
        <v>46066</v>
      </c>
      <c r="H673" s="2">
        <f t="shared" si="28"/>
        <v>1117.76</v>
      </c>
    </row>
    <row r="674" spans="7:8" ht="15" customHeight="1" x14ac:dyDescent="0.3">
      <c r="G674" s="34">
        <f t="shared" si="29"/>
        <v>46067</v>
      </c>
      <c r="H674" s="2">
        <f t="shared" si="28"/>
        <v>1117.76</v>
      </c>
    </row>
    <row r="675" spans="7:8" ht="15" customHeight="1" x14ac:dyDescent="0.3">
      <c r="G675" s="34">
        <f t="shared" si="29"/>
        <v>46068</v>
      </c>
      <c r="H675" s="2">
        <f t="shared" si="28"/>
        <v>1140.806</v>
      </c>
    </row>
    <row r="676" spans="7:8" ht="15" customHeight="1" x14ac:dyDescent="0.3">
      <c r="G676" s="34">
        <f t="shared" si="29"/>
        <v>46069</v>
      </c>
      <c r="H676" s="2">
        <f t="shared" si="28"/>
        <v>1140.806</v>
      </c>
    </row>
    <row r="677" spans="7:8" ht="15" customHeight="1" x14ac:dyDescent="0.3">
      <c r="G677" s="34">
        <f t="shared" si="29"/>
        <v>46070</v>
      </c>
      <c r="H677" s="2">
        <f t="shared" si="28"/>
        <v>1140.806</v>
      </c>
    </row>
    <row r="678" spans="7:8" ht="15" customHeight="1" x14ac:dyDescent="0.3">
      <c r="G678" s="34">
        <f t="shared" si="29"/>
        <v>46071</v>
      </c>
      <c r="H678" s="2">
        <f t="shared" si="28"/>
        <v>1140.806</v>
      </c>
    </row>
    <row r="679" spans="7:8" ht="15" customHeight="1" x14ac:dyDescent="0.3">
      <c r="G679" s="34">
        <f t="shared" si="29"/>
        <v>46072</v>
      </c>
      <c r="H679" s="2">
        <f t="shared" si="28"/>
        <v>1140.806</v>
      </c>
    </row>
    <row r="680" spans="7:8" ht="15" customHeight="1" x14ac:dyDescent="0.3">
      <c r="G680" s="34">
        <f t="shared" si="29"/>
        <v>46073</v>
      </c>
      <c r="H680" s="2">
        <f t="shared" si="28"/>
        <v>1140.806</v>
      </c>
    </row>
    <row r="681" spans="7:8" ht="15" customHeight="1" x14ac:dyDescent="0.3">
      <c r="G681" s="34">
        <f t="shared" si="29"/>
        <v>46074</v>
      </c>
      <c r="H681" s="2">
        <f t="shared" si="28"/>
        <v>1140.806</v>
      </c>
    </row>
    <row r="682" spans="7:8" ht="15" customHeight="1" x14ac:dyDescent="0.3">
      <c r="G682" s="34">
        <f t="shared" si="29"/>
        <v>46075</v>
      </c>
      <c r="H682" s="2">
        <f t="shared" si="28"/>
        <v>1473.65</v>
      </c>
    </row>
    <row r="683" spans="7:8" ht="15" customHeight="1" x14ac:dyDescent="0.3">
      <c r="G683" s="34">
        <f t="shared" si="29"/>
        <v>46076</v>
      </c>
      <c r="H683" s="2">
        <f t="shared" si="28"/>
        <v>1473.65</v>
      </c>
    </row>
    <row r="684" spans="7:8" ht="15" customHeight="1" x14ac:dyDescent="0.3">
      <c r="G684" s="34">
        <f t="shared" si="29"/>
        <v>46077</v>
      </c>
      <c r="H684" s="2">
        <f t="shared" si="28"/>
        <v>1473.65</v>
      </c>
    </row>
    <row r="685" spans="7:8" ht="15" customHeight="1" x14ac:dyDescent="0.3">
      <c r="G685" s="34">
        <f t="shared" si="29"/>
        <v>46078</v>
      </c>
      <c r="H685" s="2">
        <f t="shared" si="28"/>
        <v>1473.65</v>
      </c>
    </row>
    <row r="686" spans="7:8" ht="15" customHeight="1" x14ac:dyDescent="0.3">
      <c r="G686" s="34">
        <f t="shared" si="29"/>
        <v>46079</v>
      </c>
      <c r="H686" s="2">
        <f t="shared" si="28"/>
        <v>1473.65</v>
      </c>
    </row>
    <row r="687" spans="7:8" ht="15" customHeight="1" x14ac:dyDescent="0.3">
      <c r="G687" s="34">
        <f t="shared" si="29"/>
        <v>46080</v>
      </c>
      <c r="H687" s="2">
        <f t="shared" si="28"/>
        <v>1473.65</v>
      </c>
    </row>
    <row r="688" spans="7:8" ht="15" customHeight="1" x14ac:dyDescent="0.3">
      <c r="G688" s="34">
        <f t="shared" si="29"/>
        <v>46081</v>
      </c>
      <c r="H688" s="2">
        <f t="shared" si="28"/>
        <v>1473.65</v>
      </c>
    </row>
    <row r="689" spans="7:8" ht="15" customHeight="1" x14ac:dyDescent="0.3">
      <c r="G689" s="34">
        <f t="shared" si="29"/>
        <v>46082</v>
      </c>
      <c r="H689" s="2">
        <f t="shared" si="28"/>
        <v>1285.248</v>
      </c>
    </row>
    <row r="690" spans="7:8" ht="15" customHeight="1" x14ac:dyDescent="0.3">
      <c r="G690" s="34">
        <f t="shared" si="29"/>
        <v>46083</v>
      </c>
      <c r="H690" s="2">
        <f t="shared" si="28"/>
        <v>1285.248</v>
      </c>
    </row>
    <row r="691" spans="7:8" ht="15" customHeight="1" x14ac:dyDescent="0.3">
      <c r="G691" s="34">
        <f t="shared" si="29"/>
        <v>46084</v>
      </c>
      <c r="H691" s="2">
        <f t="shared" si="28"/>
        <v>1285.248</v>
      </c>
    </row>
    <row r="692" spans="7:8" ht="15" customHeight="1" x14ac:dyDescent="0.3">
      <c r="G692" s="34">
        <f t="shared" si="29"/>
        <v>46085</v>
      </c>
      <c r="H692" s="2">
        <f t="shared" si="28"/>
        <v>1285.248</v>
      </c>
    </row>
    <row r="693" spans="7:8" ht="15" customHeight="1" x14ac:dyDescent="0.3">
      <c r="G693" s="34">
        <f t="shared" si="29"/>
        <v>46086</v>
      </c>
      <c r="H693" s="2">
        <f t="shared" si="28"/>
        <v>1285.248</v>
      </c>
    </row>
    <row r="694" spans="7:8" ht="15" customHeight="1" x14ac:dyDescent="0.3">
      <c r="G694" s="34">
        <f t="shared" si="29"/>
        <v>46087</v>
      </c>
      <c r="H694" s="2">
        <f t="shared" si="28"/>
        <v>1285.248</v>
      </c>
    </row>
    <row r="695" spans="7:8" ht="15" customHeight="1" x14ac:dyDescent="0.3">
      <c r="G695" s="34">
        <f t="shared" si="29"/>
        <v>46088</v>
      </c>
      <c r="H695" s="2">
        <f t="shared" si="28"/>
        <v>1285.248</v>
      </c>
    </row>
    <row r="696" spans="7:8" ht="15" customHeight="1" x14ac:dyDescent="0.3">
      <c r="G696" s="34">
        <f t="shared" si="29"/>
        <v>46089</v>
      </c>
      <c r="H696" s="2">
        <f t="shared" si="28"/>
        <v>1347.0350000000001</v>
      </c>
    </row>
    <row r="697" spans="7:8" ht="15" customHeight="1" x14ac:dyDescent="0.3">
      <c r="G697" s="34">
        <f t="shared" si="29"/>
        <v>46090</v>
      </c>
      <c r="H697" s="2">
        <f t="shared" si="28"/>
        <v>1347.0350000000001</v>
      </c>
    </row>
    <row r="698" spans="7:8" ht="15" customHeight="1" x14ac:dyDescent="0.3">
      <c r="G698" s="34">
        <f t="shared" si="29"/>
        <v>46091</v>
      </c>
      <c r="H698" s="2">
        <f t="shared" si="28"/>
        <v>1347.0350000000001</v>
      </c>
    </row>
    <row r="699" spans="7:8" ht="15" customHeight="1" x14ac:dyDescent="0.3">
      <c r="G699" s="34">
        <f t="shared" si="29"/>
        <v>46092</v>
      </c>
      <c r="H699" s="2">
        <f t="shared" si="28"/>
        <v>1347.0350000000001</v>
      </c>
    </row>
    <row r="700" spans="7:8" ht="15" customHeight="1" x14ac:dyDescent="0.3">
      <c r="G700" s="34">
        <f t="shared" si="29"/>
        <v>46093</v>
      </c>
      <c r="H700" s="2">
        <f t="shared" si="28"/>
        <v>1347.0350000000001</v>
      </c>
    </row>
    <row r="701" spans="7:8" ht="15" customHeight="1" x14ac:dyDescent="0.3">
      <c r="G701" s="34">
        <f t="shared" si="29"/>
        <v>46094</v>
      </c>
      <c r="H701" s="2">
        <f t="shared" si="28"/>
        <v>1347.0350000000001</v>
      </c>
    </row>
    <row r="702" spans="7:8" ht="15" customHeight="1" x14ac:dyDescent="0.3">
      <c r="G702" s="34">
        <f t="shared" si="29"/>
        <v>46095</v>
      </c>
      <c r="H702" s="2">
        <f t="shared" si="28"/>
        <v>1347.0350000000001</v>
      </c>
    </row>
    <row r="703" spans="7:8" ht="15" customHeight="1" x14ac:dyDescent="0.3">
      <c r="G703" s="34">
        <f t="shared" si="29"/>
        <v>46096</v>
      </c>
      <c r="H703" s="2">
        <f t="shared" si="28"/>
        <v>1315.932</v>
      </c>
    </row>
    <row r="704" spans="7:8" ht="15" customHeight="1" x14ac:dyDescent="0.3">
      <c r="G704" s="34">
        <f t="shared" si="29"/>
        <v>46097</v>
      </c>
      <c r="H704" s="2">
        <f t="shared" si="28"/>
        <v>1315.932</v>
      </c>
    </row>
    <row r="705" spans="7:8" ht="15" customHeight="1" x14ac:dyDescent="0.3">
      <c r="G705" s="34">
        <f t="shared" si="29"/>
        <v>46098</v>
      </c>
      <c r="H705" s="2">
        <f t="shared" si="28"/>
        <v>1315.932</v>
      </c>
    </row>
    <row r="706" spans="7:8" ht="15" customHeight="1" x14ac:dyDescent="0.3">
      <c r="G706" s="34">
        <f t="shared" si="29"/>
        <v>46099</v>
      </c>
      <c r="H706" s="2">
        <f t="shared" si="28"/>
        <v>1315.932</v>
      </c>
    </row>
    <row r="707" spans="7:8" ht="15" customHeight="1" x14ac:dyDescent="0.3">
      <c r="G707" s="34">
        <f t="shared" si="29"/>
        <v>46100</v>
      </c>
      <c r="H707" s="2">
        <f t="shared" ref="H707:H749" si="30">LOOKUP(G707,D:D,E:E)</f>
        <v>1315.932</v>
      </c>
    </row>
    <row r="708" spans="7:8" ht="15" customHeight="1" x14ac:dyDescent="0.3">
      <c r="G708" s="34">
        <f t="shared" ref="G708:G749" si="31">G707+1</f>
        <v>46101</v>
      </c>
      <c r="H708" s="2">
        <f t="shared" si="30"/>
        <v>1315.932</v>
      </c>
    </row>
    <row r="709" spans="7:8" ht="15" customHeight="1" x14ac:dyDescent="0.3">
      <c r="G709" s="34">
        <f t="shared" si="31"/>
        <v>46102</v>
      </c>
      <c r="H709" s="2">
        <f t="shared" si="30"/>
        <v>1315.932</v>
      </c>
    </row>
    <row r="710" spans="7:8" ht="15" customHeight="1" x14ac:dyDescent="0.3">
      <c r="G710" s="34">
        <f t="shared" si="31"/>
        <v>46103</v>
      </c>
      <c r="H710" s="2">
        <f t="shared" si="30"/>
        <v>1063.934</v>
      </c>
    </row>
    <row r="711" spans="7:8" ht="15" customHeight="1" x14ac:dyDescent="0.3">
      <c r="G711" s="34">
        <f t="shared" si="31"/>
        <v>46104</v>
      </c>
      <c r="H711" s="2">
        <f t="shared" si="30"/>
        <v>1063.934</v>
      </c>
    </row>
    <row r="712" spans="7:8" ht="15" customHeight="1" x14ac:dyDescent="0.3">
      <c r="G712" s="34">
        <f t="shared" si="31"/>
        <v>46105</v>
      </c>
      <c r="H712" s="2">
        <f t="shared" si="30"/>
        <v>1063.934</v>
      </c>
    </row>
    <row r="713" spans="7:8" ht="15" customHeight="1" x14ac:dyDescent="0.3">
      <c r="G713" s="34">
        <f t="shared" si="31"/>
        <v>46106</v>
      </c>
      <c r="H713" s="2">
        <f t="shared" si="30"/>
        <v>1063.934</v>
      </c>
    </row>
    <row r="714" spans="7:8" ht="15" customHeight="1" x14ac:dyDescent="0.3">
      <c r="G714" s="34">
        <f t="shared" si="31"/>
        <v>46107</v>
      </c>
      <c r="H714" s="2">
        <f t="shared" si="30"/>
        <v>1063.934</v>
      </c>
    </row>
    <row r="715" spans="7:8" ht="15" customHeight="1" x14ac:dyDescent="0.3">
      <c r="G715" s="34">
        <f t="shared" si="31"/>
        <v>46108</v>
      </c>
      <c r="H715" s="2">
        <f t="shared" si="30"/>
        <v>1063.934</v>
      </c>
    </row>
    <row r="716" spans="7:8" ht="15" customHeight="1" x14ac:dyDescent="0.3">
      <c r="G716" s="34">
        <f t="shared" si="31"/>
        <v>46109</v>
      </c>
      <c r="H716" s="2">
        <f t="shared" si="30"/>
        <v>1063.934</v>
      </c>
    </row>
    <row r="717" spans="7:8" ht="15" customHeight="1" x14ac:dyDescent="0.3">
      <c r="G717" s="34">
        <f t="shared" si="31"/>
        <v>46110</v>
      </c>
      <c r="H717" s="2">
        <f t="shared" si="30"/>
        <v>1065.998</v>
      </c>
    </row>
    <row r="718" spans="7:8" ht="15" customHeight="1" x14ac:dyDescent="0.3">
      <c r="G718" s="34">
        <f t="shared" si="31"/>
        <v>46111</v>
      </c>
      <c r="H718" s="2">
        <f t="shared" si="30"/>
        <v>1065.998</v>
      </c>
    </row>
    <row r="719" spans="7:8" ht="15" customHeight="1" x14ac:dyDescent="0.3">
      <c r="G719" s="34">
        <f t="shared" si="31"/>
        <v>46112</v>
      </c>
      <c r="H719" s="2">
        <f t="shared" si="30"/>
        <v>1065.998</v>
      </c>
    </row>
    <row r="720" spans="7:8" ht="15" customHeight="1" x14ac:dyDescent="0.3">
      <c r="G720" s="34">
        <f t="shared" si="31"/>
        <v>46113</v>
      </c>
      <c r="H720" s="2">
        <f t="shared" si="30"/>
        <v>1065.998</v>
      </c>
    </row>
    <row r="721" spans="7:8" ht="15" customHeight="1" x14ac:dyDescent="0.3">
      <c r="G721" s="34">
        <f t="shared" si="31"/>
        <v>46114</v>
      </c>
      <c r="H721" s="2">
        <f t="shared" si="30"/>
        <v>1065.998</v>
      </c>
    </row>
    <row r="722" spans="7:8" ht="15" customHeight="1" x14ac:dyDescent="0.3">
      <c r="G722" s="34">
        <f t="shared" si="31"/>
        <v>46115</v>
      </c>
      <c r="H722" s="2">
        <f t="shared" si="30"/>
        <v>1065.998</v>
      </c>
    </row>
    <row r="723" spans="7:8" ht="15" customHeight="1" x14ac:dyDescent="0.3">
      <c r="G723" s="34">
        <f t="shared" si="31"/>
        <v>46116</v>
      </c>
      <c r="H723" s="2">
        <f t="shared" si="30"/>
        <v>1065.998</v>
      </c>
    </row>
    <row r="724" spans="7:8" ht="15" customHeight="1" x14ac:dyDescent="0.3">
      <c r="G724" s="34">
        <f t="shared" si="31"/>
        <v>46117</v>
      </c>
      <c r="H724" s="2">
        <f t="shared" si="30"/>
        <v>1258.885</v>
      </c>
    </row>
    <row r="725" spans="7:8" ht="15" customHeight="1" x14ac:dyDescent="0.3">
      <c r="G725" s="34">
        <f t="shared" si="31"/>
        <v>46118</v>
      </c>
      <c r="H725" s="2">
        <f t="shared" si="30"/>
        <v>1258.885</v>
      </c>
    </row>
    <row r="726" spans="7:8" ht="15" customHeight="1" x14ac:dyDescent="0.3">
      <c r="G726" s="34">
        <f t="shared" si="31"/>
        <v>46119</v>
      </c>
      <c r="H726" s="2">
        <f t="shared" si="30"/>
        <v>1258.885</v>
      </c>
    </row>
    <row r="727" spans="7:8" ht="15" customHeight="1" x14ac:dyDescent="0.3">
      <c r="G727" s="34">
        <f t="shared" si="31"/>
        <v>46120</v>
      </c>
      <c r="H727" s="2">
        <f t="shared" si="30"/>
        <v>1258.885</v>
      </c>
    </row>
    <row r="728" spans="7:8" ht="15" customHeight="1" x14ac:dyDescent="0.3">
      <c r="G728" s="34">
        <f t="shared" si="31"/>
        <v>46121</v>
      </c>
      <c r="H728" s="2">
        <f t="shared" si="30"/>
        <v>1258.885</v>
      </c>
    </row>
    <row r="729" spans="7:8" ht="15" customHeight="1" x14ac:dyDescent="0.3">
      <c r="G729" s="34">
        <f t="shared" si="31"/>
        <v>46122</v>
      </c>
      <c r="H729" s="2">
        <f t="shared" si="30"/>
        <v>1258.885</v>
      </c>
    </row>
    <row r="730" spans="7:8" ht="15" customHeight="1" x14ac:dyDescent="0.3">
      <c r="G730" s="34">
        <f t="shared" si="31"/>
        <v>46123</v>
      </c>
      <c r="H730" s="2">
        <f t="shared" si="30"/>
        <v>1258.885</v>
      </c>
    </row>
    <row r="731" spans="7:8" ht="15" customHeight="1" x14ac:dyDescent="0.3">
      <c r="G731" s="34">
        <f t="shared" si="31"/>
        <v>46124</v>
      </c>
      <c r="H731" s="2">
        <f t="shared" si="30"/>
        <v>971.23900000000003</v>
      </c>
    </row>
    <row r="732" spans="7:8" ht="15" customHeight="1" x14ac:dyDescent="0.3">
      <c r="G732" s="34">
        <f t="shared" si="31"/>
        <v>46125</v>
      </c>
      <c r="H732" s="2">
        <f t="shared" si="30"/>
        <v>971.23900000000003</v>
      </c>
    </row>
    <row r="733" spans="7:8" ht="15" customHeight="1" x14ac:dyDescent="0.3">
      <c r="G733" s="34">
        <f t="shared" si="31"/>
        <v>46126</v>
      </c>
      <c r="H733" s="2">
        <f t="shared" si="30"/>
        <v>971.23900000000003</v>
      </c>
    </row>
    <row r="734" spans="7:8" ht="15" customHeight="1" x14ac:dyDescent="0.3">
      <c r="G734" s="34">
        <f t="shared" si="31"/>
        <v>46127</v>
      </c>
      <c r="H734" s="2">
        <f t="shared" si="30"/>
        <v>971.23900000000003</v>
      </c>
    </row>
    <row r="735" spans="7:8" ht="15" customHeight="1" x14ac:dyDescent="0.3">
      <c r="G735" s="34">
        <f t="shared" si="31"/>
        <v>46128</v>
      </c>
      <c r="H735" s="2">
        <f t="shared" si="30"/>
        <v>971.23900000000003</v>
      </c>
    </row>
    <row r="736" spans="7:8" ht="15" customHeight="1" x14ac:dyDescent="0.3">
      <c r="G736" s="34">
        <f t="shared" si="31"/>
        <v>46129</v>
      </c>
      <c r="H736" s="2">
        <f t="shared" si="30"/>
        <v>971.23900000000003</v>
      </c>
    </row>
    <row r="737" spans="7:8" ht="15" customHeight="1" x14ac:dyDescent="0.3">
      <c r="G737" s="34">
        <f t="shared" si="31"/>
        <v>46130</v>
      </c>
      <c r="H737" s="2">
        <f t="shared" si="30"/>
        <v>971.23900000000003</v>
      </c>
    </row>
    <row r="738" spans="7:8" ht="15" customHeight="1" x14ac:dyDescent="0.3">
      <c r="G738" s="34">
        <f t="shared" si="31"/>
        <v>46131</v>
      </c>
      <c r="H738" s="2">
        <f t="shared" si="30"/>
        <v>1241.7529999999999</v>
      </c>
    </row>
    <row r="739" spans="7:8" ht="15" customHeight="1" x14ac:dyDescent="0.3">
      <c r="G739" s="34">
        <f t="shared" si="31"/>
        <v>46132</v>
      </c>
      <c r="H739" s="2">
        <f t="shared" si="30"/>
        <v>1241.7529999999999</v>
      </c>
    </row>
    <row r="740" spans="7:8" ht="15" customHeight="1" x14ac:dyDescent="0.3">
      <c r="G740" s="34">
        <f t="shared" si="31"/>
        <v>46133</v>
      </c>
      <c r="H740" s="2">
        <f t="shared" si="30"/>
        <v>1241.7529999999999</v>
      </c>
    </row>
    <row r="741" spans="7:8" ht="15" customHeight="1" x14ac:dyDescent="0.3">
      <c r="G741" s="34">
        <f t="shared" si="31"/>
        <v>46134</v>
      </c>
      <c r="H741" s="2">
        <f t="shared" si="30"/>
        <v>1241.7529999999999</v>
      </c>
    </row>
    <row r="742" spans="7:8" ht="15" customHeight="1" x14ac:dyDescent="0.3">
      <c r="G742" s="34">
        <f t="shared" si="31"/>
        <v>46135</v>
      </c>
      <c r="H742" s="2">
        <f t="shared" si="30"/>
        <v>1241.7529999999999</v>
      </c>
    </row>
    <row r="743" spans="7:8" ht="15" customHeight="1" x14ac:dyDescent="0.3">
      <c r="G743" s="34">
        <f t="shared" si="31"/>
        <v>46136</v>
      </c>
      <c r="H743" s="2">
        <f t="shared" si="30"/>
        <v>1241.7529999999999</v>
      </c>
    </row>
    <row r="744" spans="7:8" ht="15" customHeight="1" x14ac:dyDescent="0.3">
      <c r="G744" s="34">
        <f t="shared" si="31"/>
        <v>46137</v>
      </c>
      <c r="H744" s="2">
        <f t="shared" si="30"/>
        <v>1241.7529999999999</v>
      </c>
    </row>
    <row r="745" spans="7:8" ht="15" customHeight="1" x14ac:dyDescent="0.3">
      <c r="G745" s="34">
        <f t="shared" si="31"/>
        <v>46138</v>
      </c>
      <c r="H745" s="2">
        <f t="shared" si="30"/>
        <v>1241.7529999999999</v>
      </c>
    </row>
    <row r="746" spans="7:8" ht="15" customHeight="1" x14ac:dyDescent="0.3">
      <c r="G746" s="34">
        <f t="shared" si="31"/>
        <v>46139</v>
      </c>
      <c r="H746" s="2">
        <f t="shared" si="30"/>
        <v>1241.7529999999999</v>
      </c>
    </row>
    <row r="747" spans="7:8" ht="15" customHeight="1" x14ac:dyDescent="0.3">
      <c r="G747" s="34">
        <f t="shared" si="31"/>
        <v>46140</v>
      </c>
      <c r="H747" s="2">
        <f t="shared" si="30"/>
        <v>1241.7529999999999</v>
      </c>
    </row>
    <row r="748" spans="7:8" ht="15" customHeight="1" x14ac:dyDescent="0.3">
      <c r="G748" s="34">
        <f t="shared" si="31"/>
        <v>46141</v>
      </c>
      <c r="H748" s="2">
        <f t="shared" si="30"/>
        <v>1241.7529999999999</v>
      </c>
    </row>
    <row r="749" spans="7:8" ht="15" customHeight="1" x14ac:dyDescent="0.3">
      <c r="G749" s="34">
        <f t="shared" si="31"/>
        <v>46142</v>
      </c>
      <c r="H749" s="2">
        <f t="shared" si="30"/>
        <v>1241.7529999999999</v>
      </c>
    </row>
    <row r="750" spans="7:8" ht="15" customHeight="1" x14ac:dyDescent="0.3">
      <c r="G750" s="34"/>
    </row>
    <row r="751" spans="7:8" ht="15" customHeight="1" x14ac:dyDescent="0.3">
      <c r="G751" s="34"/>
    </row>
    <row r="752" spans="7:8" ht="15" customHeight="1" x14ac:dyDescent="0.3">
      <c r="G752" s="34"/>
    </row>
    <row r="753" spans="7:7" ht="15" customHeight="1" x14ac:dyDescent="0.3">
      <c r="G753" s="34"/>
    </row>
    <row r="754" spans="7:7" ht="15" customHeight="1" x14ac:dyDescent="0.3">
      <c r="G754" s="34"/>
    </row>
    <row r="755" spans="7:7" ht="15" customHeight="1" x14ac:dyDescent="0.3">
      <c r="G755" s="34"/>
    </row>
    <row r="756" spans="7:7" ht="15" customHeight="1" x14ac:dyDescent="0.3">
      <c r="G756" s="34"/>
    </row>
    <row r="757" spans="7:7" ht="15" customHeight="1" x14ac:dyDescent="0.3">
      <c r="G757" s="34"/>
    </row>
    <row r="758" spans="7:7" ht="15" customHeight="1" x14ac:dyDescent="0.3">
      <c r="G758" s="34"/>
    </row>
    <row r="759" spans="7:7" ht="15" customHeight="1" x14ac:dyDescent="0.3">
      <c r="G759" s="34"/>
    </row>
    <row r="760" spans="7:7" ht="15" customHeight="1" x14ac:dyDescent="0.3">
      <c r="G760" s="34"/>
    </row>
    <row r="761" spans="7:7" ht="15" customHeight="1" x14ac:dyDescent="0.3">
      <c r="G761" s="34"/>
    </row>
    <row r="762" spans="7:7" ht="15" customHeight="1" x14ac:dyDescent="0.3">
      <c r="G762" s="34"/>
    </row>
    <row r="763" spans="7:7" ht="15" customHeight="1" x14ac:dyDescent="0.3">
      <c r="G763" s="34"/>
    </row>
    <row r="764" spans="7:7" ht="15" customHeight="1" x14ac:dyDescent="0.3">
      <c r="G764" s="34"/>
    </row>
    <row r="765" spans="7:7" ht="15" customHeight="1" x14ac:dyDescent="0.3">
      <c r="G765" s="34"/>
    </row>
    <row r="766" spans="7:7" ht="15" customHeight="1" x14ac:dyDescent="0.3">
      <c r="G766" s="34"/>
    </row>
    <row r="767" spans="7:7" ht="15" customHeight="1" x14ac:dyDescent="0.3">
      <c r="G767" s="34"/>
    </row>
    <row r="768" spans="7:7" ht="15" customHeight="1" x14ac:dyDescent="0.3">
      <c r="G768" s="34"/>
    </row>
    <row r="769" spans="7:7" ht="15" customHeight="1" x14ac:dyDescent="0.3">
      <c r="G769" s="34"/>
    </row>
    <row r="770" spans="7:7" ht="15" customHeight="1" x14ac:dyDescent="0.3">
      <c r="G770" s="34"/>
    </row>
    <row r="771" spans="7:7" ht="15" customHeight="1" x14ac:dyDescent="0.3">
      <c r="G771" s="34"/>
    </row>
    <row r="772" spans="7:7" ht="15" customHeight="1" x14ac:dyDescent="0.3">
      <c r="G772" s="34"/>
    </row>
    <row r="773" spans="7:7" ht="15" customHeight="1" x14ac:dyDescent="0.3">
      <c r="G773" s="34"/>
    </row>
    <row r="774" spans="7:7" ht="15" customHeight="1" x14ac:dyDescent="0.3">
      <c r="G774" s="34"/>
    </row>
    <row r="775" spans="7:7" ht="15" customHeight="1" x14ac:dyDescent="0.3">
      <c r="G775" s="34"/>
    </row>
    <row r="776" spans="7:7" ht="15" customHeight="1" x14ac:dyDescent="0.3">
      <c r="G776" s="34"/>
    </row>
    <row r="777" spans="7:7" ht="15" customHeight="1" x14ac:dyDescent="0.3">
      <c r="G777" s="34"/>
    </row>
    <row r="778" spans="7:7" ht="15" customHeight="1" x14ac:dyDescent="0.3">
      <c r="G778" s="34"/>
    </row>
    <row r="779" spans="7:7" ht="15" customHeight="1" x14ac:dyDescent="0.3">
      <c r="G779" s="34"/>
    </row>
    <row r="780" spans="7:7" ht="15" customHeight="1" x14ac:dyDescent="0.3">
      <c r="G780" s="34"/>
    </row>
    <row r="781" spans="7:7" ht="15" customHeight="1" x14ac:dyDescent="0.3">
      <c r="G781" s="34"/>
    </row>
    <row r="782" spans="7:7" ht="15" customHeight="1" x14ac:dyDescent="0.3">
      <c r="G782" s="34"/>
    </row>
    <row r="783" spans="7:7" ht="15" customHeight="1" x14ac:dyDescent="0.3">
      <c r="G783" s="34"/>
    </row>
    <row r="784" spans="7:7" ht="15" customHeight="1" x14ac:dyDescent="0.3">
      <c r="G784" s="34"/>
    </row>
    <row r="785" spans="7:7" ht="15" customHeight="1" x14ac:dyDescent="0.3">
      <c r="G785" s="34"/>
    </row>
    <row r="786" spans="7:7" ht="15" customHeight="1" x14ac:dyDescent="0.3">
      <c r="G786" s="34"/>
    </row>
    <row r="787" spans="7:7" ht="15" customHeight="1" x14ac:dyDescent="0.3">
      <c r="G787" s="34"/>
    </row>
    <row r="788" spans="7:7" ht="15" customHeight="1" x14ac:dyDescent="0.3">
      <c r="G788" s="34"/>
    </row>
    <row r="789" spans="7:7" ht="15" customHeight="1" x14ac:dyDescent="0.3">
      <c r="G789" s="34"/>
    </row>
    <row r="790" spans="7:7" ht="15" customHeight="1" x14ac:dyDescent="0.3">
      <c r="G790" s="34"/>
    </row>
    <row r="791" spans="7:7" ht="15" customHeight="1" x14ac:dyDescent="0.3">
      <c r="G791" s="34"/>
    </row>
    <row r="792" spans="7:7" ht="15" customHeight="1" x14ac:dyDescent="0.3">
      <c r="G792" s="34"/>
    </row>
    <row r="793" spans="7:7" ht="15" customHeight="1" x14ac:dyDescent="0.3">
      <c r="G793" s="34"/>
    </row>
    <row r="794" spans="7:7" ht="15" customHeight="1" x14ac:dyDescent="0.3">
      <c r="G794" s="34"/>
    </row>
    <row r="795" spans="7:7" ht="15" customHeight="1" x14ac:dyDescent="0.3">
      <c r="G795" s="34"/>
    </row>
    <row r="796" spans="7:7" ht="15" customHeight="1" x14ac:dyDescent="0.3">
      <c r="G796" s="34"/>
    </row>
    <row r="797" spans="7:7" ht="15" customHeight="1" x14ac:dyDescent="0.3">
      <c r="G797" s="34"/>
    </row>
    <row r="798" spans="7:7" ht="15" customHeight="1" x14ac:dyDescent="0.3">
      <c r="G798" s="34"/>
    </row>
    <row r="799" spans="7:7" ht="15" customHeight="1" x14ac:dyDescent="0.3">
      <c r="G799" s="34"/>
    </row>
    <row r="800" spans="7:7" ht="15" customHeight="1" x14ac:dyDescent="0.3">
      <c r="G800" s="34"/>
    </row>
    <row r="801" spans="7:7" ht="15" customHeight="1" x14ac:dyDescent="0.3">
      <c r="G801" s="34"/>
    </row>
    <row r="802" spans="7:7" ht="15" customHeight="1" x14ac:dyDescent="0.3">
      <c r="G802" s="34"/>
    </row>
    <row r="803" spans="7:7" ht="15" customHeight="1" x14ac:dyDescent="0.3">
      <c r="G803" s="34"/>
    </row>
    <row r="804" spans="7:7" ht="15" customHeight="1" x14ac:dyDescent="0.3">
      <c r="G804" s="34"/>
    </row>
    <row r="805" spans="7:7" ht="15" customHeight="1" x14ac:dyDescent="0.3">
      <c r="G805" s="34"/>
    </row>
    <row r="806" spans="7:7" ht="15" customHeight="1" x14ac:dyDescent="0.3">
      <c r="G806" s="34"/>
    </row>
    <row r="807" spans="7:7" ht="15" customHeight="1" x14ac:dyDescent="0.3">
      <c r="G807" s="34"/>
    </row>
    <row r="808" spans="7:7" ht="15" customHeight="1" x14ac:dyDescent="0.3">
      <c r="G808" s="34"/>
    </row>
    <row r="809" spans="7:7" ht="15" customHeight="1" x14ac:dyDescent="0.3">
      <c r="G809" s="34"/>
    </row>
    <row r="810" spans="7:7" ht="15" customHeight="1" x14ac:dyDescent="0.3">
      <c r="G810" s="34"/>
    </row>
    <row r="811" spans="7:7" ht="15" customHeight="1" x14ac:dyDescent="0.3">
      <c r="G811" s="34"/>
    </row>
    <row r="812" spans="7:7" ht="15" customHeight="1" x14ac:dyDescent="0.3">
      <c r="G812" s="34"/>
    </row>
    <row r="813" spans="7:7" ht="15" customHeight="1" x14ac:dyDescent="0.3">
      <c r="G813" s="34"/>
    </row>
    <row r="814" spans="7:7" ht="15" customHeight="1" x14ac:dyDescent="0.3">
      <c r="G814" s="34"/>
    </row>
    <row r="815" spans="7:7" ht="15" customHeight="1" x14ac:dyDescent="0.3">
      <c r="G815" s="34"/>
    </row>
    <row r="816" spans="7:7" ht="15" customHeight="1" x14ac:dyDescent="0.3">
      <c r="G816" s="34"/>
    </row>
    <row r="817" spans="7:7" ht="15" customHeight="1" x14ac:dyDescent="0.3">
      <c r="G817" s="34"/>
    </row>
    <row r="818" spans="7:7" ht="15" customHeight="1" x14ac:dyDescent="0.3">
      <c r="G818" s="34"/>
    </row>
    <row r="819" spans="7:7" ht="15" customHeight="1" x14ac:dyDescent="0.3">
      <c r="G819" s="34"/>
    </row>
    <row r="820" spans="7:7" ht="15" customHeight="1" x14ac:dyDescent="0.3">
      <c r="G820" s="34"/>
    </row>
    <row r="821" spans="7:7" ht="15" customHeight="1" x14ac:dyDescent="0.3">
      <c r="G821" s="34"/>
    </row>
    <row r="822" spans="7:7" ht="15" customHeight="1" x14ac:dyDescent="0.3">
      <c r="G822" s="34"/>
    </row>
    <row r="823" spans="7:7" ht="15" customHeight="1" x14ac:dyDescent="0.3">
      <c r="G823" s="34"/>
    </row>
    <row r="824" spans="7:7" ht="15" customHeight="1" x14ac:dyDescent="0.3">
      <c r="G824" s="34"/>
    </row>
    <row r="825" spans="7:7" ht="15" customHeight="1" x14ac:dyDescent="0.3">
      <c r="G825" s="34"/>
    </row>
    <row r="826" spans="7:7" ht="15" customHeight="1" x14ac:dyDescent="0.3">
      <c r="G826" s="34"/>
    </row>
    <row r="827" spans="7:7" ht="15" customHeight="1" x14ac:dyDescent="0.3">
      <c r="G827" s="34"/>
    </row>
    <row r="828" spans="7:7" ht="15" customHeight="1" x14ac:dyDescent="0.3">
      <c r="G828" s="34"/>
    </row>
    <row r="829" spans="7:7" ht="15" customHeight="1" x14ac:dyDescent="0.3">
      <c r="G829" s="34"/>
    </row>
    <row r="830" spans="7:7" ht="15" customHeight="1" x14ac:dyDescent="0.3">
      <c r="G830" s="34"/>
    </row>
    <row r="831" spans="7:7" ht="15" customHeight="1" x14ac:dyDescent="0.3">
      <c r="G831" s="34"/>
    </row>
    <row r="832" spans="7:7" ht="15" customHeight="1" x14ac:dyDescent="0.3">
      <c r="G832" s="34"/>
    </row>
    <row r="833" spans="7:7" ht="15" customHeight="1" x14ac:dyDescent="0.3">
      <c r="G833" s="34"/>
    </row>
    <row r="834" spans="7:7" ht="15" customHeight="1" x14ac:dyDescent="0.3">
      <c r="G834" s="34"/>
    </row>
    <row r="835" spans="7:7" ht="15" customHeight="1" x14ac:dyDescent="0.3">
      <c r="G835" s="34"/>
    </row>
    <row r="836" spans="7:7" ht="15" customHeight="1" x14ac:dyDescent="0.3">
      <c r="G836" s="34"/>
    </row>
    <row r="837" spans="7:7" ht="15" customHeight="1" x14ac:dyDescent="0.3">
      <c r="G837" s="34"/>
    </row>
    <row r="838" spans="7:7" ht="15" customHeight="1" x14ac:dyDescent="0.3">
      <c r="G838" s="34"/>
    </row>
    <row r="839" spans="7:7" ht="15" customHeight="1" x14ac:dyDescent="0.3">
      <c r="G839" s="34"/>
    </row>
    <row r="840" spans="7:7" ht="15" customHeight="1" x14ac:dyDescent="0.3">
      <c r="G840" s="34"/>
    </row>
    <row r="841" spans="7:7" ht="15" customHeight="1" x14ac:dyDescent="0.3">
      <c r="G841" s="34"/>
    </row>
    <row r="842" spans="7:7" ht="15" customHeight="1" x14ac:dyDescent="0.3">
      <c r="G842" s="34"/>
    </row>
    <row r="843" spans="7:7" ht="15" customHeight="1" x14ac:dyDescent="0.3">
      <c r="G843" s="34"/>
    </row>
    <row r="844" spans="7:7" ht="15" customHeight="1" x14ac:dyDescent="0.3">
      <c r="G844" s="34"/>
    </row>
    <row r="845" spans="7:7" ht="15" customHeight="1" x14ac:dyDescent="0.3">
      <c r="G845" s="34"/>
    </row>
    <row r="846" spans="7:7" ht="15" customHeight="1" x14ac:dyDescent="0.3">
      <c r="G846" s="34"/>
    </row>
    <row r="847" spans="7:7" ht="15" customHeight="1" x14ac:dyDescent="0.3">
      <c r="G847" s="34"/>
    </row>
    <row r="848" spans="7:7" ht="15" customHeight="1" x14ac:dyDescent="0.3">
      <c r="G848" s="34"/>
    </row>
    <row r="849" spans="7:7" ht="15" customHeight="1" x14ac:dyDescent="0.3">
      <c r="G849" s="34"/>
    </row>
    <row r="850" spans="7:7" ht="15" customHeight="1" x14ac:dyDescent="0.3">
      <c r="G850" s="34"/>
    </row>
    <row r="851" spans="7:7" ht="15" customHeight="1" x14ac:dyDescent="0.3">
      <c r="G851" s="34"/>
    </row>
    <row r="852" spans="7:7" ht="15" customHeight="1" x14ac:dyDescent="0.3">
      <c r="G852" s="34"/>
    </row>
    <row r="853" spans="7:7" ht="15" customHeight="1" x14ac:dyDescent="0.3">
      <c r="G853" s="34"/>
    </row>
    <row r="854" spans="7:7" ht="15" customHeight="1" x14ac:dyDescent="0.3">
      <c r="G854" s="34"/>
    </row>
    <row r="855" spans="7:7" ht="15" customHeight="1" x14ac:dyDescent="0.3">
      <c r="G855" s="34"/>
    </row>
    <row r="856" spans="7:7" ht="15" customHeight="1" x14ac:dyDescent="0.3">
      <c r="G856" s="34"/>
    </row>
    <row r="857" spans="7:7" ht="15" customHeight="1" x14ac:dyDescent="0.3">
      <c r="G857" s="34"/>
    </row>
    <row r="858" spans="7:7" ht="15" customHeight="1" x14ac:dyDescent="0.3">
      <c r="G858" s="34"/>
    </row>
    <row r="859" spans="7:7" ht="15" customHeight="1" x14ac:dyDescent="0.3">
      <c r="G859" s="34"/>
    </row>
    <row r="860" spans="7:7" ht="15" customHeight="1" x14ac:dyDescent="0.3">
      <c r="G860" s="34"/>
    </row>
    <row r="861" spans="7:7" ht="15" customHeight="1" x14ac:dyDescent="0.3">
      <c r="G861" s="34"/>
    </row>
    <row r="862" spans="7:7" ht="15" customHeight="1" x14ac:dyDescent="0.3">
      <c r="G862" s="34"/>
    </row>
    <row r="863" spans="7:7" ht="15" customHeight="1" x14ac:dyDescent="0.3">
      <c r="G863" s="34"/>
    </row>
    <row r="864" spans="7:7" ht="15" customHeight="1" x14ac:dyDescent="0.3">
      <c r="G864" s="34"/>
    </row>
    <row r="865" spans="7:7" ht="15" customHeight="1" x14ac:dyDescent="0.3">
      <c r="G865" s="34"/>
    </row>
    <row r="866" spans="7:7" ht="15" customHeight="1" x14ac:dyDescent="0.3">
      <c r="G866" s="34"/>
    </row>
    <row r="867" spans="7:7" ht="15" customHeight="1" x14ac:dyDescent="0.3">
      <c r="G867" s="34"/>
    </row>
    <row r="868" spans="7:7" ht="15" customHeight="1" x14ac:dyDescent="0.3">
      <c r="G868" s="34"/>
    </row>
    <row r="869" spans="7:7" ht="15" customHeight="1" x14ac:dyDescent="0.3">
      <c r="G869" s="34"/>
    </row>
    <row r="870" spans="7:7" ht="15" customHeight="1" x14ac:dyDescent="0.3">
      <c r="G870" s="34"/>
    </row>
    <row r="871" spans="7:7" ht="15" customHeight="1" x14ac:dyDescent="0.3">
      <c r="G871" s="34"/>
    </row>
    <row r="872" spans="7:7" ht="15" customHeight="1" x14ac:dyDescent="0.3">
      <c r="G872" s="34"/>
    </row>
    <row r="873" spans="7:7" ht="15" customHeight="1" x14ac:dyDescent="0.3">
      <c r="G873" s="34"/>
    </row>
    <row r="874" spans="7:7" ht="15" customHeight="1" x14ac:dyDescent="0.3">
      <c r="G874" s="34"/>
    </row>
    <row r="875" spans="7:7" ht="15" customHeight="1" x14ac:dyDescent="0.3">
      <c r="G875" s="34"/>
    </row>
    <row r="876" spans="7:7" ht="15" customHeight="1" x14ac:dyDescent="0.3">
      <c r="G876" s="34"/>
    </row>
    <row r="877" spans="7:7" ht="15" customHeight="1" x14ac:dyDescent="0.3">
      <c r="G877" s="34"/>
    </row>
    <row r="878" spans="7:7" ht="15" customHeight="1" x14ac:dyDescent="0.3">
      <c r="G878" s="34"/>
    </row>
    <row r="879" spans="7:7" ht="15" customHeight="1" x14ac:dyDescent="0.3">
      <c r="G879" s="34"/>
    </row>
    <row r="880" spans="7:7" ht="15" customHeight="1" x14ac:dyDescent="0.3">
      <c r="G880" s="34"/>
    </row>
    <row r="881" spans="7:7" ht="15" customHeight="1" x14ac:dyDescent="0.3">
      <c r="G881" s="34"/>
    </row>
    <row r="882" spans="7:7" ht="15" customHeight="1" x14ac:dyDescent="0.3">
      <c r="G882" s="34"/>
    </row>
    <row r="883" spans="7:7" ht="15" customHeight="1" x14ac:dyDescent="0.3">
      <c r="G883" s="34"/>
    </row>
    <row r="884" spans="7:7" ht="15" customHeight="1" x14ac:dyDescent="0.3">
      <c r="G884" s="34"/>
    </row>
    <row r="885" spans="7:7" ht="15" customHeight="1" x14ac:dyDescent="0.3">
      <c r="G885" s="34"/>
    </row>
    <row r="886" spans="7:7" ht="15" customHeight="1" x14ac:dyDescent="0.3">
      <c r="G886" s="34"/>
    </row>
    <row r="887" spans="7:7" ht="15" customHeight="1" x14ac:dyDescent="0.3">
      <c r="G887" s="34"/>
    </row>
    <row r="888" spans="7:7" ht="15" customHeight="1" x14ac:dyDescent="0.3">
      <c r="G888" s="34"/>
    </row>
    <row r="889" spans="7:7" ht="15" customHeight="1" x14ac:dyDescent="0.3">
      <c r="G889" s="34"/>
    </row>
    <row r="890" spans="7:7" ht="15" customHeight="1" x14ac:dyDescent="0.3">
      <c r="G890" s="34"/>
    </row>
    <row r="891" spans="7:7" ht="15" customHeight="1" x14ac:dyDescent="0.3">
      <c r="G891" s="34"/>
    </row>
    <row r="892" spans="7:7" ht="15" customHeight="1" x14ac:dyDescent="0.3">
      <c r="G892" s="34"/>
    </row>
    <row r="893" spans="7:7" ht="15" customHeight="1" x14ac:dyDescent="0.3">
      <c r="G893" s="34"/>
    </row>
    <row r="894" spans="7:7" ht="15" customHeight="1" x14ac:dyDescent="0.3">
      <c r="G894" s="34"/>
    </row>
    <row r="895" spans="7:7" ht="15" customHeight="1" x14ac:dyDescent="0.3">
      <c r="G895" s="34"/>
    </row>
    <row r="896" spans="7:7" ht="15" customHeight="1" x14ac:dyDescent="0.3">
      <c r="G896" s="34"/>
    </row>
    <row r="897" spans="7:7" ht="15" customHeight="1" x14ac:dyDescent="0.3">
      <c r="G897" s="34"/>
    </row>
    <row r="898" spans="7:7" ht="15" customHeight="1" x14ac:dyDescent="0.3">
      <c r="G898" s="34"/>
    </row>
    <row r="899" spans="7:7" ht="15" customHeight="1" x14ac:dyDescent="0.3">
      <c r="G899" s="34"/>
    </row>
    <row r="900" spans="7:7" ht="15" customHeight="1" x14ac:dyDescent="0.3">
      <c r="G900" s="34"/>
    </row>
    <row r="901" spans="7:7" ht="15" customHeight="1" x14ac:dyDescent="0.3">
      <c r="G901" s="34"/>
    </row>
    <row r="902" spans="7:7" ht="15" customHeight="1" x14ac:dyDescent="0.3">
      <c r="G902" s="34"/>
    </row>
    <row r="903" spans="7:7" ht="15" customHeight="1" x14ac:dyDescent="0.3">
      <c r="G903" s="34"/>
    </row>
    <row r="904" spans="7:7" ht="15" customHeight="1" x14ac:dyDescent="0.3">
      <c r="G904" s="34"/>
    </row>
    <row r="905" spans="7:7" ht="15" customHeight="1" x14ac:dyDescent="0.3">
      <c r="G905" s="34"/>
    </row>
    <row r="906" spans="7:7" ht="15" customHeight="1" x14ac:dyDescent="0.3">
      <c r="G906" s="34"/>
    </row>
    <row r="907" spans="7:7" ht="15" customHeight="1" x14ac:dyDescent="0.3">
      <c r="G907" s="34"/>
    </row>
    <row r="908" spans="7:7" ht="15" customHeight="1" x14ac:dyDescent="0.3">
      <c r="G908" s="34"/>
    </row>
    <row r="909" spans="7:7" ht="15" customHeight="1" x14ac:dyDescent="0.3">
      <c r="G909" s="34"/>
    </row>
    <row r="910" spans="7:7" ht="15" customHeight="1" x14ac:dyDescent="0.3">
      <c r="G910" s="34"/>
    </row>
    <row r="911" spans="7:7" ht="15" customHeight="1" x14ac:dyDescent="0.3">
      <c r="G911" s="34"/>
    </row>
    <row r="912" spans="7:7" ht="15" customHeight="1" x14ac:dyDescent="0.3">
      <c r="G912" s="34"/>
    </row>
    <row r="913" spans="7:7" ht="15" customHeight="1" x14ac:dyDescent="0.3">
      <c r="G913" s="34"/>
    </row>
    <row r="914" spans="7:7" ht="15" customHeight="1" x14ac:dyDescent="0.3">
      <c r="G914" s="34"/>
    </row>
    <row r="915" spans="7:7" ht="15" customHeight="1" x14ac:dyDescent="0.3">
      <c r="G915" s="34"/>
    </row>
    <row r="916" spans="7:7" ht="15" customHeight="1" x14ac:dyDescent="0.3">
      <c r="G916" s="34"/>
    </row>
    <row r="917" spans="7:7" ht="15" customHeight="1" x14ac:dyDescent="0.3">
      <c r="G917" s="34"/>
    </row>
    <row r="918" spans="7:7" ht="15" customHeight="1" x14ac:dyDescent="0.3">
      <c r="G918" s="34"/>
    </row>
    <row r="919" spans="7:7" ht="15" customHeight="1" x14ac:dyDescent="0.3">
      <c r="G919" s="34"/>
    </row>
    <row r="920" spans="7:7" ht="15" customHeight="1" x14ac:dyDescent="0.3">
      <c r="G920" s="34"/>
    </row>
    <row r="921" spans="7:7" ht="15" customHeight="1" x14ac:dyDescent="0.3">
      <c r="G921" s="34"/>
    </row>
    <row r="922" spans="7:7" ht="15" customHeight="1" x14ac:dyDescent="0.3">
      <c r="G922" s="34"/>
    </row>
    <row r="923" spans="7:7" ht="15" customHeight="1" x14ac:dyDescent="0.3">
      <c r="G923" s="34"/>
    </row>
    <row r="924" spans="7:7" ht="15" customHeight="1" x14ac:dyDescent="0.3">
      <c r="G924" s="34"/>
    </row>
    <row r="925" spans="7:7" ht="15" customHeight="1" x14ac:dyDescent="0.3">
      <c r="G925" s="34"/>
    </row>
    <row r="926" spans="7:7" ht="15" customHeight="1" x14ac:dyDescent="0.3">
      <c r="G926" s="34"/>
    </row>
    <row r="927" spans="7:7" ht="15" customHeight="1" x14ac:dyDescent="0.3">
      <c r="G927" s="34"/>
    </row>
    <row r="928" spans="7:7" ht="15" customHeight="1" x14ac:dyDescent="0.3">
      <c r="G928" s="34"/>
    </row>
    <row r="929" spans="7:7" ht="15" customHeight="1" x14ac:dyDescent="0.3">
      <c r="G929" s="34"/>
    </row>
    <row r="930" spans="7:7" ht="15" customHeight="1" x14ac:dyDescent="0.3">
      <c r="G930" s="34"/>
    </row>
    <row r="931" spans="7:7" ht="15" customHeight="1" x14ac:dyDescent="0.3">
      <c r="G931" s="34"/>
    </row>
    <row r="932" spans="7:7" ht="15" customHeight="1" x14ac:dyDescent="0.3">
      <c r="G932" s="34"/>
    </row>
    <row r="933" spans="7:7" ht="15" customHeight="1" x14ac:dyDescent="0.3">
      <c r="G933" s="34"/>
    </row>
    <row r="934" spans="7:7" ht="15" customHeight="1" x14ac:dyDescent="0.3">
      <c r="G934" s="34"/>
    </row>
    <row r="935" spans="7:7" ht="15" customHeight="1" x14ac:dyDescent="0.3">
      <c r="G935" s="34"/>
    </row>
    <row r="936" spans="7:7" ht="15" customHeight="1" x14ac:dyDescent="0.3">
      <c r="G936" s="34"/>
    </row>
    <row r="937" spans="7:7" ht="15" customHeight="1" x14ac:dyDescent="0.3">
      <c r="G937" s="34"/>
    </row>
    <row r="938" spans="7:7" ht="15" customHeight="1" x14ac:dyDescent="0.3">
      <c r="G938" s="34"/>
    </row>
    <row r="939" spans="7:7" ht="15" customHeight="1" x14ac:dyDescent="0.3">
      <c r="G939" s="34"/>
    </row>
    <row r="940" spans="7:7" ht="15" customHeight="1" x14ac:dyDescent="0.3">
      <c r="G940" s="34"/>
    </row>
    <row r="941" spans="7:7" ht="15" customHeight="1" x14ac:dyDescent="0.3">
      <c r="G941" s="34"/>
    </row>
    <row r="942" spans="7:7" ht="15" customHeight="1" x14ac:dyDescent="0.3">
      <c r="G942" s="34"/>
    </row>
    <row r="943" spans="7:7" ht="15" customHeight="1" x14ac:dyDescent="0.3">
      <c r="G943" s="34"/>
    </row>
    <row r="944" spans="7:7" ht="15" customHeight="1" x14ac:dyDescent="0.3">
      <c r="G944" s="34"/>
    </row>
    <row r="945" spans="7:7" ht="15" customHeight="1" x14ac:dyDescent="0.3">
      <c r="G945" s="34"/>
    </row>
    <row r="946" spans="7:7" ht="15" customHeight="1" x14ac:dyDescent="0.3">
      <c r="G946" s="34"/>
    </row>
    <row r="947" spans="7:7" ht="15" customHeight="1" x14ac:dyDescent="0.3">
      <c r="G947" s="34"/>
    </row>
    <row r="948" spans="7:7" ht="15" customHeight="1" x14ac:dyDescent="0.3">
      <c r="G948" s="34"/>
    </row>
    <row r="949" spans="7:7" ht="15" customHeight="1" x14ac:dyDescent="0.3">
      <c r="G949" s="34"/>
    </row>
    <row r="950" spans="7:7" ht="15" customHeight="1" x14ac:dyDescent="0.3">
      <c r="G950" s="34"/>
    </row>
    <row r="951" spans="7:7" ht="15" customHeight="1" x14ac:dyDescent="0.3">
      <c r="G951" s="34"/>
    </row>
    <row r="952" spans="7:7" ht="15" customHeight="1" x14ac:dyDescent="0.3">
      <c r="G952" s="34"/>
    </row>
    <row r="953" spans="7:7" ht="15" customHeight="1" x14ac:dyDescent="0.3">
      <c r="G953" s="34"/>
    </row>
    <row r="954" spans="7:7" ht="15" customHeight="1" x14ac:dyDescent="0.3">
      <c r="G954" s="34"/>
    </row>
    <row r="955" spans="7:7" ht="15" customHeight="1" x14ac:dyDescent="0.3">
      <c r="G955" s="34"/>
    </row>
    <row r="956" spans="7:7" ht="15" customHeight="1" x14ac:dyDescent="0.3">
      <c r="G956" s="34"/>
    </row>
    <row r="957" spans="7:7" ht="15" customHeight="1" x14ac:dyDescent="0.3">
      <c r="G957" s="34"/>
    </row>
    <row r="958" spans="7:7" ht="15" customHeight="1" x14ac:dyDescent="0.3">
      <c r="G958" s="34"/>
    </row>
    <row r="959" spans="7:7" ht="15" customHeight="1" x14ac:dyDescent="0.3">
      <c r="G959" s="34"/>
    </row>
    <row r="960" spans="7:7" ht="15" customHeight="1" x14ac:dyDescent="0.3">
      <c r="G960" s="34"/>
    </row>
    <row r="961" spans="7:7" ht="15" customHeight="1" x14ac:dyDescent="0.3">
      <c r="G961" s="34"/>
    </row>
    <row r="962" spans="7:7" ht="15" customHeight="1" x14ac:dyDescent="0.3">
      <c r="G962" s="34"/>
    </row>
    <row r="963" spans="7:7" ht="15" customHeight="1" x14ac:dyDescent="0.3">
      <c r="G963" s="34"/>
    </row>
    <row r="964" spans="7:7" ht="15" customHeight="1" x14ac:dyDescent="0.3">
      <c r="G964" s="34"/>
    </row>
    <row r="965" spans="7:7" ht="15" customHeight="1" x14ac:dyDescent="0.3">
      <c r="G965" s="34"/>
    </row>
    <row r="966" spans="7:7" ht="15" customHeight="1" x14ac:dyDescent="0.3">
      <c r="G966" s="34"/>
    </row>
    <row r="967" spans="7:7" ht="15" customHeight="1" x14ac:dyDescent="0.3">
      <c r="G967" s="34"/>
    </row>
    <row r="968" spans="7:7" ht="15" customHeight="1" x14ac:dyDescent="0.3">
      <c r="G968" s="34"/>
    </row>
    <row r="969" spans="7:7" ht="15" customHeight="1" x14ac:dyDescent="0.3">
      <c r="G969" s="34"/>
    </row>
    <row r="970" spans="7:7" ht="15" customHeight="1" x14ac:dyDescent="0.3">
      <c r="G970" s="34"/>
    </row>
    <row r="971" spans="7:7" ht="15" customHeight="1" x14ac:dyDescent="0.3">
      <c r="G971" s="34"/>
    </row>
    <row r="972" spans="7:7" ht="15" customHeight="1" x14ac:dyDescent="0.3">
      <c r="G972" s="34"/>
    </row>
    <row r="973" spans="7:7" ht="15" customHeight="1" x14ac:dyDescent="0.3">
      <c r="G973" s="34"/>
    </row>
    <row r="974" spans="7:7" ht="15" customHeight="1" x14ac:dyDescent="0.3">
      <c r="G974" s="34"/>
    </row>
    <row r="975" spans="7:7" ht="15" customHeight="1" x14ac:dyDescent="0.3">
      <c r="G975" s="34"/>
    </row>
    <row r="976" spans="7:7" ht="15" customHeight="1" x14ac:dyDescent="0.3">
      <c r="G976" s="34"/>
    </row>
    <row r="977" spans="7:7" ht="15" customHeight="1" x14ac:dyDescent="0.3">
      <c r="G977" s="34"/>
    </row>
    <row r="978" spans="7:7" ht="15" customHeight="1" x14ac:dyDescent="0.3">
      <c r="G978" s="34"/>
    </row>
    <row r="979" spans="7:7" ht="15" customHeight="1" x14ac:dyDescent="0.3">
      <c r="G979" s="34"/>
    </row>
    <row r="980" spans="7:7" ht="15" customHeight="1" x14ac:dyDescent="0.3">
      <c r="G980" s="34"/>
    </row>
    <row r="981" spans="7:7" ht="15" customHeight="1" x14ac:dyDescent="0.3">
      <c r="G981" s="34"/>
    </row>
    <row r="982" spans="7:7" ht="15" customHeight="1" x14ac:dyDescent="0.3">
      <c r="G982" s="34"/>
    </row>
    <row r="983" spans="7:7" ht="15" customHeight="1" x14ac:dyDescent="0.3">
      <c r="G983" s="34"/>
    </row>
    <row r="984" spans="7:7" ht="15" customHeight="1" x14ac:dyDescent="0.3">
      <c r="G984" s="34"/>
    </row>
    <row r="985" spans="7:7" ht="15" customHeight="1" x14ac:dyDescent="0.3">
      <c r="G985" s="34"/>
    </row>
    <row r="986" spans="7:7" ht="15" customHeight="1" x14ac:dyDescent="0.3">
      <c r="G986" s="34"/>
    </row>
    <row r="987" spans="7:7" ht="15" customHeight="1" x14ac:dyDescent="0.3">
      <c r="G987" s="34"/>
    </row>
    <row r="988" spans="7:7" ht="15" customHeight="1" x14ac:dyDescent="0.3">
      <c r="G988" s="34"/>
    </row>
    <row r="989" spans="7:7" ht="15" customHeight="1" x14ac:dyDescent="0.3">
      <c r="G989" s="34"/>
    </row>
    <row r="990" spans="7:7" ht="15" customHeight="1" x14ac:dyDescent="0.3">
      <c r="G990" s="34"/>
    </row>
    <row r="991" spans="7:7" ht="15" customHeight="1" x14ac:dyDescent="0.3">
      <c r="G991" s="34"/>
    </row>
    <row r="992" spans="7:7" ht="15" customHeight="1" x14ac:dyDescent="0.3">
      <c r="G992" s="34"/>
    </row>
    <row r="993" spans="7:7" ht="15" customHeight="1" x14ac:dyDescent="0.3">
      <c r="G993" s="34"/>
    </row>
    <row r="994" spans="7:7" ht="15" customHeight="1" x14ac:dyDescent="0.3">
      <c r="G994" s="34"/>
    </row>
    <row r="995" spans="7:7" ht="15" customHeight="1" x14ac:dyDescent="0.3">
      <c r="G995" s="34"/>
    </row>
    <row r="996" spans="7:7" ht="15" customHeight="1" x14ac:dyDescent="0.3">
      <c r="G996" s="34"/>
    </row>
    <row r="997" spans="7:7" ht="15" customHeight="1" x14ac:dyDescent="0.3">
      <c r="G997" s="34"/>
    </row>
    <row r="998" spans="7:7" ht="15" customHeight="1" x14ac:dyDescent="0.3">
      <c r="G998" s="34"/>
    </row>
    <row r="999" spans="7:7" ht="15" customHeight="1" x14ac:dyDescent="0.3">
      <c r="G999" s="34"/>
    </row>
    <row r="1000" spans="7:7" ht="15" customHeight="1" x14ac:dyDescent="0.3">
      <c r="G1000" s="34"/>
    </row>
    <row r="1001" spans="7:7" ht="15" customHeight="1" x14ac:dyDescent="0.3">
      <c r="G1001" s="34"/>
    </row>
    <row r="1002" spans="7:7" ht="15" customHeight="1" x14ac:dyDescent="0.3">
      <c r="G1002" s="34"/>
    </row>
    <row r="1003" spans="7:7" ht="15" customHeight="1" x14ac:dyDescent="0.3">
      <c r="G1003" s="34"/>
    </row>
    <row r="1004" spans="7:7" ht="15" customHeight="1" x14ac:dyDescent="0.3">
      <c r="G1004" s="34"/>
    </row>
    <row r="1005" spans="7:7" ht="15" customHeight="1" x14ac:dyDescent="0.3">
      <c r="G1005" s="34"/>
    </row>
    <row r="1006" spans="7:7" ht="15" customHeight="1" x14ac:dyDescent="0.3">
      <c r="G1006" s="34"/>
    </row>
    <row r="1007" spans="7:7" ht="15" customHeight="1" x14ac:dyDescent="0.3">
      <c r="G1007" s="34"/>
    </row>
    <row r="1008" spans="7:7" ht="15" customHeight="1" x14ac:dyDescent="0.3">
      <c r="G1008" s="34"/>
    </row>
    <row r="1009" spans="7:7" ht="15" customHeight="1" x14ac:dyDescent="0.3">
      <c r="G1009" s="34"/>
    </row>
    <row r="1010" spans="7:7" ht="15" customHeight="1" x14ac:dyDescent="0.3">
      <c r="G1010" s="34"/>
    </row>
    <row r="1011" spans="7:7" ht="15" customHeight="1" x14ac:dyDescent="0.3">
      <c r="G1011" s="34"/>
    </row>
    <row r="1012" spans="7:7" ht="15" customHeight="1" x14ac:dyDescent="0.3">
      <c r="G1012" s="34"/>
    </row>
    <row r="1013" spans="7:7" ht="15" customHeight="1" x14ac:dyDescent="0.3">
      <c r="G1013" s="34"/>
    </row>
    <row r="1014" spans="7:7" ht="15" customHeight="1" x14ac:dyDescent="0.3">
      <c r="G1014" s="34"/>
    </row>
    <row r="1015" spans="7:7" ht="15" customHeight="1" x14ac:dyDescent="0.3">
      <c r="G1015" s="34"/>
    </row>
    <row r="1016" spans="7:7" ht="15" customHeight="1" x14ac:dyDescent="0.3">
      <c r="G1016" s="34"/>
    </row>
    <row r="1017" spans="7:7" ht="15" customHeight="1" x14ac:dyDescent="0.3">
      <c r="G1017" s="34"/>
    </row>
    <row r="1018" spans="7:7" ht="15" customHeight="1" x14ac:dyDescent="0.3">
      <c r="G1018" s="34"/>
    </row>
    <row r="1019" spans="7:7" ht="15" customHeight="1" x14ac:dyDescent="0.3">
      <c r="G1019" s="34"/>
    </row>
    <row r="1020" spans="7:7" ht="15" customHeight="1" x14ac:dyDescent="0.3">
      <c r="G1020" s="34"/>
    </row>
    <row r="1021" spans="7:7" ht="15" customHeight="1" x14ac:dyDescent="0.3">
      <c r="G1021" s="34"/>
    </row>
    <row r="1022" spans="7:7" ht="15" customHeight="1" x14ac:dyDescent="0.3">
      <c r="G1022" s="34"/>
    </row>
    <row r="1023" spans="7:7" ht="15" customHeight="1" x14ac:dyDescent="0.3">
      <c r="G1023" s="34"/>
    </row>
    <row r="1024" spans="7:7" ht="15" customHeight="1" x14ac:dyDescent="0.3">
      <c r="G1024" s="34"/>
    </row>
    <row r="1025" spans="7:7" ht="15" customHeight="1" x14ac:dyDescent="0.3">
      <c r="G1025" s="34"/>
    </row>
    <row r="1026" spans="7:7" ht="15" customHeight="1" x14ac:dyDescent="0.3">
      <c r="G1026" s="34"/>
    </row>
    <row r="1027" spans="7:7" ht="15" customHeight="1" x14ac:dyDescent="0.3">
      <c r="G1027" s="34"/>
    </row>
    <row r="1028" spans="7:7" ht="15" customHeight="1" x14ac:dyDescent="0.3">
      <c r="G1028" s="34"/>
    </row>
    <row r="1029" spans="7:7" ht="15" customHeight="1" x14ac:dyDescent="0.3">
      <c r="G1029" s="34"/>
    </row>
    <row r="1030" spans="7:7" ht="15" customHeight="1" x14ac:dyDescent="0.3">
      <c r="G1030" s="34"/>
    </row>
    <row r="1031" spans="7:7" ht="15" customHeight="1" x14ac:dyDescent="0.3">
      <c r="G1031" s="34"/>
    </row>
    <row r="1032" spans="7:7" ht="15" customHeight="1" x14ac:dyDescent="0.3">
      <c r="G1032" s="34"/>
    </row>
    <row r="1033" spans="7:7" ht="15" customHeight="1" x14ac:dyDescent="0.3">
      <c r="G1033" s="34"/>
    </row>
    <row r="1034" spans="7:7" ht="15" customHeight="1" x14ac:dyDescent="0.3">
      <c r="G1034" s="34"/>
    </row>
    <row r="1035" spans="7:7" ht="15" customHeight="1" x14ac:dyDescent="0.3">
      <c r="G1035" s="34"/>
    </row>
    <row r="1036" spans="7:7" ht="15" customHeight="1" x14ac:dyDescent="0.3">
      <c r="G1036" s="34"/>
    </row>
    <row r="1037" spans="7:7" ht="15" customHeight="1" x14ac:dyDescent="0.3">
      <c r="G1037" s="34"/>
    </row>
    <row r="1038" spans="7:7" ht="15" customHeight="1" x14ac:dyDescent="0.3">
      <c r="G1038" s="34"/>
    </row>
    <row r="1039" spans="7:7" ht="15" customHeight="1" x14ac:dyDescent="0.3">
      <c r="G1039" s="34"/>
    </row>
    <row r="1040" spans="7:7" ht="15" customHeight="1" x14ac:dyDescent="0.3">
      <c r="G1040" s="34"/>
    </row>
    <row r="1041" spans="7:7" ht="15" customHeight="1" x14ac:dyDescent="0.3">
      <c r="G1041" s="34"/>
    </row>
    <row r="1042" spans="7:7" ht="15" customHeight="1" x14ac:dyDescent="0.3">
      <c r="G1042" s="34"/>
    </row>
    <row r="1043" spans="7:7" ht="15" customHeight="1" x14ac:dyDescent="0.3">
      <c r="G1043" s="34"/>
    </row>
    <row r="1044" spans="7:7" ht="15" customHeight="1" x14ac:dyDescent="0.3">
      <c r="G1044" s="34"/>
    </row>
    <row r="1045" spans="7:7" ht="15" customHeight="1" x14ac:dyDescent="0.3">
      <c r="G1045" s="34"/>
    </row>
    <row r="1046" spans="7:7" ht="15" customHeight="1" x14ac:dyDescent="0.3">
      <c r="G1046" s="34"/>
    </row>
    <row r="1047" spans="7:7" ht="15" customHeight="1" x14ac:dyDescent="0.3">
      <c r="G1047" s="34"/>
    </row>
    <row r="1048" spans="7:7" ht="15" customHeight="1" x14ac:dyDescent="0.3">
      <c r="G1048" s="34"/>
    </row>
    <row r="1049" spans="7:7" ht="15" customHeight="1" x14ac:dyDescent="0.3">
      <c r="G1049" s="34"/>
    </row>
    <row r="1050" spans="7:7" ht="15" customHeight="1" x14ac:dyDescent="0.3">
      <c r="G1050" s="34"/>
    </row>
    <row r="1051" spans="7:7" ht="15" customHeight="1" x14ac:dyDescent="0.3">
      <c r="G1051" s="34"/>
    </row>
    <row r="1052" spans="7:7" ht="15" customHeight="1" x14ac:dyDescent="0.3">
      <c r="G1052" s="34"/>
    </row>
    <row r="1053" spans="7:7" ht="15" customHeight="1" x14ac:dyDescent="0.3">
      <c r="G1053" s="34"/>
    </row>
    <row r="1054" spans="7:7" ht="15" customHeight="1" x14ac:dyDescent="0.3">
      <c r="G1054" s="34"/>
    </row>
    <row r="1055" spans="7:7" ht="15" customHeight="1" x14ac:dyDescent="0.3">
      <c r="G1055" s="34"/>
    </row>
    <row r="1056" spans="7:7" ht="15" customHeight="1" x14ac:dyDescent="0.3">
      <c r="G1056" s="34"/>
    </row>
    <row r="1057" spans="7:7" ht="15" customHeight="1" x14ac:dyDescent="0.3">
      <c r="G1057" s="34"/>
    </row>
    <row r="1058" spans="7:7" ht="15" customHeight="1" x14ac:dyDescent="0.3">
      <c r="G1058" s="34"/>
    </row>
    <row r="1059" spans="7:7" ht="15" customHeight="1" x14ac:dyDescent="0.3">
      <c r="G1059" s="34"/>
    </row>
    <row r="1060" spans="7:7" ht="15" customHeight="1" x14ac:dyDescent="0.3">
      <c r="G1060" s="34"/>
    </row>
    <row r="1061" spans="7:7" ht="15" customHeight="1" x14ac:dyDescent="0.3">
      <c r="G1061" s="34"/>
    </row>
    <row r="1062" spans="7:7" ht="15" customHeight="1" x14ac:dyDescent="0.3">
      <c r="G1062" s="34"/>
    </row>
    <row r="1063" spans="7:7" ht="15" customHeight="1" x14ac:dyDescent="0.3">
      <c r="G1063" s="34"/>
    </row>
    <row r="1064" spans="7:7" ht="15" customHeight="1" x14ac:dyDescent="0.3">
      <c r="G1064" s="34"/>
    </row>
    <row r="1065" spans="7:7" ht="15" customHeight="1" x14ac:dyDescent="0.3">
      <c r="G1065" s="34"/>
    </row>
    <row r="1066" spans="7:7" ht="15" customHeight="1" x14ac:dyDescent="0.3">
      <c r="G1066" s="34"/>
    </row>
    <row r="1067" spans="7:7" ht="15" customHeight="1" x14ac:dyDescent="0.3">
      <c r="G1067" s="34"/>
    </row>
    <row r="1068" spans="7:7" ht="15" customHeight="1" x14ac:dyDescent="0.3">
      <c r="G1068" s="34"/>
    </row>
    <row r="1069" spans="7:7" ht="15" customHeight="1" x14ac:dyDescent="0.3">
      <c r="G1069" s="34"/>
    </row>
    <row r="1070" spans="7:7" ht="15" customHeight="1" x14ac:dyDescent="0.3">
      <c r="G1070" s="34"/>
    </row>
    <row r="1071" spans="7:7" ht="15" customHeight="1" x14ac:dyDescent="0.3">
      <c r="G1071" s="34"/>
    </row>
    <row r="1072" spans="7:7" ht="15" customHeight="1" x14ac:dyDescent="0.3">
      <c r="G1072" s="34"/>
    </row>
    <row r="1073" spans="7:7" ht="15" customHeight="1" x14ac:dyDescent="0.3">
      <c r="G1073" s="34"/>
    </row>
    <row r="1074" spans="7:7" ht="15" customHeight="1" x14ac:dyDescent="0.3">
      <c r="G1074" s="34"/>
    </row>
    <row r="1075" spans="7:7" ht="15" customHeight="1" x14ac:dyDescent="0.3">
      <c r="G1075" s="34"/>
    </row>
    <row r="1076" spans="7:7" ht="15" customHeight="1" x14ac:dyDescent="0.3">
      <c r="G1076" s="34"/>
    </row>
    <row r="1077" spans="7:7" ht="15" customHeight="1" x14ac:dyDescent="0.3">
      <c r="G1077" s="34"/>
    </row>
    <row r="1078" spans="7:7" ht="15" customHeight="1" x14ac:dyDescent="0.3">
      <c r="G1078" s="34"/>
    </row>
    <row r="1079" spans="7:7" ht="15" customHeight="1" x14ac:dyDescent="0.3">
      <c r="G1079" s="34"/>
    </row>
    <row r="1080" spans="7:7" ht="15" customHeight="1" x14ac:dyDescent="0.3">
      <c r="G1080" s="34"/>
    </row>
    <row r="1081" spans="7:7" ht="15" customHeight="1" x14ac:dyDescent="0.3">
      <c r="G1081" s="34"/>
    </row>
    <row r="1082" spans="7:7" ht="15" customHeight="1" x14ac:dyDescent="0.3">
      <c r="G1082" s="34"/>
    </row>
    <row r="1083" spans="7:7" ht="15" customHeight="1" x14ac:dyDescent="0.3">
      <c r="G1083" s="34"/>
    </row>
    <row r="1084" spans="7:7" ht="15" customHeight="1" x14ac:dyDescent="0.3">
      <c r="G1084" s="34"/>
    </row>
    <row r="1085" spans="7:7" ht="15" customHeight="1" x14ac:dyDescent="0.3">
      <c r="G1085" s="34"/>
    </row>
    <row r="1086" spans="7:7" ht="15" customHeight="1" x14ac:dyDescent="0.3">
      <c r="G1086" s="34"/>
    </row>
    <row r="1087" spans="7:7" ht="15" customHeight="1" x14ac:dyDescent="0.3">
      <c r="G1087" s="34"/>
    </row>
    <row r="1088" spans="7:7" ht="15" customHeight="1" x14ac:dyDescent="0.3">
      <c r="G1088" s="34"/>
    </row>
    <row r="1089" spans="7:7" ht="15" customHeight="1" x14ac:dyDescent="0.3">
      <c r="G1089" s="34"/>
    </row>
    <row r="1090" spans="7:7" ht="15" customHeight="1" x14ac:dyDescent="0.3">
      <c r="G1090" s="34"/>
    </row>
    <row r="1091" spans="7:7" ht="15" customHeight="1" x14ac:dyDescent="0.3">
      <c r="G1091" s="34"/>
    </row>
    <row r="1092" spans="7:7" ht="15" customHeight="1" x14ac:dyDescent="0.3">
      <c r="G1092" s="34"/>
    </row>
    <row r="1093" spans="7:7" ht="15" customHeight="1" x14ac:dyDescent="0.3">
      <c r="G1093" s="34"/>
    </row>
    <row r="1094" spans="7:7" ht="15" customHeight="1" x14ac:dyDescent="0.3">
      <c r="G1094" s="34"/>
    </row>
    <row r="1095" spans="7:7" ht="15" customHeight="1" x14ac:dyDescent="0.3">
      <c r="G1095" s="34"/>
    </row>
    <row r="1096" spans="7:7" ht="15" customHeight="1" x14ac:dyDescent="0.3">
      <c r="G1096" s="34"/>
    </row>
    <row r="1097" spans="7:7" ht="15" customHeight="1" x14ac:dyDescent="0.3">
      <c r="G1097" s="34"/>
    </row>
    <row r="1098" spans="7:7" ht="15" customHeight="1" x14ac:dyDescent="0.3">
      <c r="G1098" s="34"/>
    </row>
    <row r="1099" spans="7:7" ht="15" customHeight="1" x14ac:dyDescent="0.3">
      <c r="G1099" s="34"/>
    </row>
    <row r="1100" spans="7:7" ht="15" customHeight="1" x14ac:dyDescent="0.3">
      <c r="G1100" s="34"/>
    </row>
    <row r="1101" spans="7:7" ht="15" customHeight="1" x14ac:dyDescent="0.3">
      <c r="G1101" s="34"/>
    </row>
    <row r="1102" spans="7:7" ht="15" customHeight="1" x14ac:dyDescent="0.3">
      <c r="G1102" s="34"/>
    </row>
    <row r="1103" spans="7:7" ht="15" customHeight="1" x14ac:dyDescent="0.3">
      <c r="G1103" s="34"/>
    </row>
    <row r="1104" spans="7:7" ht="15" customHeight="1" x14ac:dyDescent="0.3">
      <c r="G1104" s="34"/>
    </row>
    <row r="1105" spans="7:7" ht="15" customHeight="1" x14ac:dyDescent="0.3">
      <c r="G1105" s="34"/>
    </row>
    <row r="1106" spans="7:7" ht="15" customHeight="1" x14ac:dyDescent="0.3">
      <c r="G1106" s="34"/>
    </row>
    <row r="1107" spans="7:7" ht="15" customHeight="1" x14ac:dyDescent="0.3">
      <c r="G1107" s="34"/>
    </row>
    <row r="1108" spans="7:7" ht="15" customHeight="1" x14ac:dyDescent="0.3">
      <c r="G1108" s="34"/>
    </row>
    <row r="1109" spans="7:7" ht="15" customHeight="1" x14ac:dyDescent="0.3">
      <c r="G1109" s="34"/>
    </row>
    <row r="1110" spans="7:7" ht="15" customHeight="1" x14ac:dyDescent="0.3">
      <c r="G1110" s="34"/>
    </row>
    <row r="1111" spans="7:7" ht="15" customHeight="1" x14ac:dyDescent="0.3">
      <c r="G1111" s="34"/>
    </row>
    <row r="1112" spans="7:7" ht="15" customHeight="1" x14ac:dyDescent="0.3">
      <c r="G1112" s="34"/>
    </row>
    <row r="1113" spans="7:7" ht="15" customHeight="1" x14ac:dyDescent="0.3">
      <c r="G1113" s="34"/>
    </row>
    <row r="1114" spans="7:7" ht="15" customHeight="1" x14ac:dyDescent="0.3">
      <c r="G1114" s="34"/>
    </row>
    <row r="1115" spans="7:7" ht="15" customHeight="1" x14ac:dyDescent="0.3">
      <c r="G1115" s="34"/>
    </row>
    <row r="1116" spans="7:7" ht="15" customHeight="1" x14ac:dyDescent="0.3">
      <c r="G1116" s="34"/>
    </row>
    <row r="1117" spans="7:7" ht="15" customHeight="1" x14ac:dyDescent="0.3">
      <c r="G1117" s="34"/>
    </row>
    <row r="1118" spans="7:7" ht="15" customHeight="1" x14ac:dyDescent="0.3">
      <c r="G1118" s="34"/>
    </row>
    <row r="1119" spans="7:7" ht="15" customHeight="1" x14ac:dyDescent="0.3">
      <c r="G1119" s="34"/>
    </row>
    <row r="1120" spans="7:7" ht="15" customHeight="1" x14ac:dyDescent="0.3">
      <c r="G1120" s="34"/>
    </row>
    <row r="1121" spans="7:7" ht="15" customHeight="1" x14ac:dyDescent="0.3">
      <c r="G1121" s="34"/>
    </row>
    <row r="1122" spans="7:7" ht="15" customHeight="1" x14ac:dyDescent="0.3">
      <c r="G1122" s="34"/>
    </row>
    <row r="1123" spans="7:7" ht="15" customHeight="1" x14ac:dyDescent="0.3">
      <c r="G1123" s="34"/>
    </row>
    <row r="1124" spans="7:7" ht="15" customHeight="1" x14ac:dyDescent="0.3">
      <c r="G1124" s="34"/>
    </row>
    <row r="1125" spans="7:7" ht="15" customHeight="1" x14ac:dyDescent="0.3">
      <c r="G1125" s="34"/>
    </row>
    <row r="1126" spans="7:7" ht="15" customHeight="1" x14ac:dyDescent="0.3">
      <c r="G1126" s="34"/>
    </row>
    <row r="1127" spans="7:7" ht="15" customHeight="1" x14ac:dyDescent="0.3">
      <c r="G1127" s="34"/>
    </row>
    <row r="1128" spans="7:7" ht="15" customHeight="1" x14ac:dyDescent="0.3">
      <c r="G1128" s="34"/>
    </row>
    <row r="1129" spans="7:7" ht="15" customHeight="1" x14ac:dyDescent="0.3">
      <c r="G1129" s="34"/>
    </row>
    <row r="1130" spans="7:7" ht="15" customHeight="1" x14ac:dyDescent="0.3">
      <c r="G1130" s="34"/>
    </row>
    <row r="1131" spans="7:7" ht="15" customHeight="1" x14ac:dyDescent="0.3">
      <c r="G1131" s="34"/>
    </row>
    <row r="1132" spans="7:7" ht="15" customHeight="1" x14ac:dyDescent="0.3">
      <c r="G1132" s="34"/>
    </row>
    <row r="1133" spans="7:7" ht="15" customHeight="1" x14ac:dyDescent="0.3">
      <c r="G1133" s="34"/>
    </row>
    <row r="1134" spans="7:7" ht="15" customHeight="1" x14ac:dyDescent="0.3">
      <c r="G1134" s="34"/>
    </row>
    <row r="1135" spans="7:7" ht="15" customHeight="1" x14ac:dyDescent="0.3">
      <c r="G1135" s="34"/>
    </row>
    <row r="1136" spans="7:7" ht="15" customHeight="1" x14ac:dyDescent="0.3">
      <c r="G1136" s="34"/>
    </row>
    <row r="1137" spans="7:7" ht="15" customHeight="1" x14ac:dyDescent="0.3">
      <c r="G1137" s="34"/>
    </row>
    <row r="1138" spans="7:7" ht="15" customHeight="1" x14ac:dyDescent="0.3">
      <c r="G1138" s="34"/>
    </row>
    <row r="1139" spans="7:7" ht="15" customHeight="1" x14ac:dyDescent="0.3">
      <c r="G1139" s="34"/>
    </row>
    <row r="1140" spans="7:7" ht="15" customHeight="1" x14ac:dyDescent="0.3">
      <c r="G1140" s="34"/>
    </row>
    <row r="1141" spans="7:7" ht="15" customHeight="1" x14ac:dyDescent="0.3">
      <c r="G1141" s="34"/>
    </row>
    <row r="1142" spans="7:7" ht="15" customHeight="1" x14ac:dyDescent="0.3">
      <c r="G1142" s="34"/>
    </row>
    <row r="1143" spans="7:7" ht="15" customHeight="1" x14ac:dyDescent="0.3">
      <c r="G1143" s="34"/>
    </row>
    <row r="1144" spans="7:7" ht="15" customHeight="1" x14ac:dyDescent="0.3">
      <c r="G1144" s="34"/>
    </row>
    <row r="1145" spans="7:7" ht="15" customHeight="1" x14ac:dyDescent="0.3">
      <c r="G1145" s="34"/>
    </row>
    <row r="1146" spans="7:7" ht="15" customHeight="1" x14ac:dyDescent="0.3">
      <c r="G1146" s="34"/>
    </row>
    <row r="1147" spans="7:7" ht="15" customHeight="1" x14ac:dyDescent="0.3">
      <c r="G1147" s="34"/>
    </row>
    <row r="1148" spans="7:7" ht="15" customHeight="1" x14ac:dyDescent="0.3">
      <c r="G1148" s="34"/>
    </row>
    <row r="1149" spans="7:7" ht="15" customHeight="1" x14ac:dyDescent="0.3">
      <c r="G1149" s="34"/>
    </row>
    <row r="1150" spans="7:7" ht="15" customHeight="1" x14ac:dyDescent="0.3">
      <c r="G1150" s="34"/>
    </row>
    <row r="1151" spans="7:7" ht="15" customHeight="1" x14ac:dyDescent="0.3">
      <c r="G1151" s="34"/>
    </row>
    <row r="1152" spans="7:7" ht="15" customHeight="1" x14ac:dyDescent="0.3">
      <c r="G1152" s="34"/>
    </row>
    <row r="1153" spans="7:7" ht="15" customHeight="1" x14ac:dyDescent="0.3">
      <c r="G1153" s="34"/>
    </row>
    <row r="1154" spans="7:7" ht="15" customHeight="1" x14ac:dyDescent="0.3">
      <c r="G1154" s="34"/>
    </row>
    <row r="1155" spans="7:7" ht="15" customHeight="1" x14ac:dyDescent="0.3">
      <c r="G1155" s="34"/>
    </row>
    <row r="1156" spans="7:7" ht="15" customHeight="1" x14ac:dyDescent="0.3">
      <c r="G1156" s="34"/>
    </row>
    <row r="1157" spans="7:7" ht="15" customHeight="1" x14ac:dyDescent="0.3">
      <c r="G1157" s="34"/>
    </row>
    <row r="1158" spans="7:7" ht="15" customHeight="1" x14ac:dyDescent="0.3">
      <c r="G1158" s="34"/>
    </row>
    <row r="1159" spans="7:7" ht="15" customHeight="1" x14ac:dyDescent="0.3">
      <c r="G1159" s="34"/>
    </row>
    <row r="1160" spans="7:7" ht="15" customHeight="1" x14ac:dyDescent="0.3">
      <c r="G1160" s="34"/>
    </row>
    <row r="1161" spans="7:7" ht="15" customHeight="1" x14ac:dyDescent="0.3">
      <c r="G1161" s="34"/>
    </row>
    <row r="1162" spans="7:7" ht="15" customHeight="1" x14ac:dyDescent="0.3">
      <c r="G1162" s="34"/>
    </row>
    <row r="1163" spans="7:7" ht="15" customHeight="1" x14ac:dyDescent="0.3">
      <c r="G1163" s="34"/>
    </row>
    <row r="1164" spans="7:7" ht="15" customHeight="1" x14ac:dyDescent="0.3">
      <c r="G1164" s="34"/>
    </row>
    <row r="1165" spans="7:7" ht="15" customHeight="1" x14ac:dyDescent="0.3">
      <c r="G1165" s="34"/>
    </row>
    <row r="1166" spans="7:7" ht="15" customHeight="1" x14ac:dyDescent="0.3">
      <c r="G1166" s="34"/>
    </row>
    <row r="1167" spans="7:7" ht="15" customHeight="1" x14ac:dyDescent="0.3">
      <c r="G1167" s="34"/>
    </row>
    <row r="1168" spans="7:7" ht="15" customHeight="1" x14ac:dyDescent="0.3">
      <c r="G1168" s="34"/>
    </row>
    <row r="1169" spans="7:7" ht="15" customHeight="1" x14ac:dyDescent="0.3">
      <c r="G1169" s="34"/>
    </row>
    <row r="1170" spans="7:7" ht="15" customHeight="1" x14ac:dyDescent="0.3">
      <c r="G1170" s="34"/>
    </row>
    <row r="1171" spans="7:7" ht="15" customHeight="1" x14ac:dyDescent="0.3">
      <c r="G1171" s="34"/>
    </row>
    <row r="1172" spans="7:7" ht="15" customHeight="1" x14ac:dyDescent="0.3">
      <c r="G1172" s="34"/>
    </row>
    <row r="1173" spans="7:7" ht="15" customHeight="1" x14ac:dyDescent="0.3">
      <c r="G1173" s="34"/>
    </row>
    <row r="1174" spans="7:7" ht="15" customHeight="1" x14ac:dyDescent="0.3">
      <c r="G1174" s="34"/>
    </row>
    <row r="1175" spans="7:7" ht="15" customHeight="1" x14ac:dyDescent="0.3">
      <c r="G1175" s="34"/>
    </row>
    <row r="1176" spans="7:7" ht="15" customHeight="1" x14ac:dyDescent="0.3">
      <c r="G1176" s="34"/>
    </row>
    <row r="1177" spans="7:7" ht="15" customHeight="1" x14ac:dyDescent="0.3">
      <c r="G1177" s="34"/>
    </row>
    <row r="1178" spans="7:7" ht="15" customHeight="1" x14ac:dyDescent="0.3">
      <c r="G1178" s="34"/>
    </row>
    <row r="1179" spans="7:7" ht="15" customHeight="1" x14ac:dyDescent="0.3">
      <c r="G1179" s="34"/>
    </row>
    <row r="1180" spans="7:7" ht="15" customHeight="1" x14ac:dyDescent="0.3">
      <c r="G1180" s="34"/>
    </row>
    <row r="1181" spans="7:7" ht="15" customHeight="1" x14ac:dyDescent="0.3">
      <c r="G1181" s="34"/>
    </row>
    <row r="1182" spans="7:7" ht="15" customHeight="1" x14ac:dyDescent="0.3">
      <c r="G1182" s="34"/>
    </row>
    <row r="1183" spans="7:7" ht="15" customHeight="1" x14ac:dyDescent="0.3">
      <c r="G1183" s="34"/>
    </row>
    <row r="1184" spans="7:7" ht="15" customHeight="1" x14ac:dyDescent="0.3">
      <c r="G1184" s="34"/>
    </row>
    <row r="1185" spans="7:7" ht="15" customHeight="1" x14ac:dyDescent="0.3">
      <c r="G1185" s="34"/>
    </row>
    <row r="1186" spans="7:7" ht="15" customHeight="1" x14ac:dyDescent="0.3">
      <c r="G1186" s="34"/>
    </row>
    <row r="1187" spans="7:7" ht="15" customHeight="1" x14ac:dyDescent="0.3">
      <c r="G1187" s="34"/>
    </row>
    <row r="1188" spans="7:7" ht="15" customHeight="1" x14ac:dyDescent="0.3">
      <c r="G1188" s="34"/>
    </row>
    <row r="1189" spans="7:7" ht="15" customHeight="1" x14ac:dyDescent="0.3">
      <c r="G1189" s="34"/>
    </row>
    <row r="1190" spans="7:7" ht="15" customHeight="1" x14ac:dyDescent="0.3">
      <c r="G1190" s="34"/>
    </row>
    <row r="1191" spans="7:7" ht="15" customHeight="1" x14ac:dyDescent="0.3">
      <c r="G1191" s="34"/>
    </row>
    <row r="1192" spans="7:7" ht="15" customHeight="1" x14ac:dyDescent="0.3">
      <c r="G1192" s="34"/>
    </row>
    <row r="1193" spans="7:7" ht="15" customHeight="1" x14ac:dyDescent="0.3">
      <c r="G1193" s="34"/>
    </row>
    <row r="1194" spans="7:7" ht="15" customHeight="1" x14ac:dyDescent="0.3">
      <c r="G1194" s="34"/>
    </row>
    <row r="1195" spans="7:7" ht="15" customHeight="1" x14ac:dyDescent="0.3">
      <c r="G1195" s="34"/>
    </row>
    <row r="1196" spans="7:7" ht="15" customHeight="1" x14ac:dyDescent="0.3">
      <c r="G1196" s="34"/>
    </row>
    <row r="1197" spans="7:7" ht="15" customHeight="1" x14ac:dyDescent="0.3">
      <c r="G1197" s="34"/>
    </row>
    <row r="1198" spans="7:7" ht="15" customHeight="1" x14ac:dyDescent="0.3">
      <c r="G1198" s="34"/>
    </row>
    <row r="1199" spans="7:7" ht="15" customHeight="1" x14ac:dyDescent="0.3">
      <c r="G1199" s="34"/>
    </row>
    <row r="1200" spans="7:7" ht="15" customHeight="1" x14ac:dyDescent="0.3">
      <c r="G1200" s="34"/>
    </row>
    <row r="1201" spans="7:7" ht="15" customHeight="1" x14ac:dyDescent="0.3">
      <c r="G1201" s="34"/>
    </row>
    <row r="1202" spans="7:7" ht="15" customHeight="1" x14ac:dyDescent="0.3">
      <c r="G1202" s="34"/>
    </row>
    <row r="1203" spans="7:7" ht="15" customHeight="1" x14ac:dyDescent="0.3">
      <c r="G1203" s="34"/>
    </row>
    <row r="1204" spans="7:7" ht="15" customHeight="1" x14ac:dyDescent="0.3">
      <c r="G1204" s="34"/>
    </row>
    <row r="1205" spans="7:7" ht="15" customHeight="1" x14ac:dyDescent="0.3">
      <c r="G1205" s="34"/>
    </row>
    <row r="1206" spans="7:7" ht="15" customHeight="1" x14ac:dyDescent="0.3">
      <c r="G1206" s="34"/>
    </row>
    <row r="1207" spans="7:7" ht="15" customHeight="1" x14ac:dyDescent="0.3">
      <c r="G1207" s="34"/>
    </row>
    <row r="1208" spans="7:7" ht="15" customHeight="1" x14ac:dyDescent="0.3">
      <c r="G1208" s="34"/>
    </row>
    <row r="1209" spans="7:7" ht="15" customHeight="1" x14ac:dyDescent="0.3">
      <c r="G1209" s="34"/>
    </row>
    <row r="1210" spans="7:7" ht="15" customHeight="1" x14ac:dyDescent="0.3">
      <c r="G1210" s="34"/>
    </row>
    <row r="1211" spans="7:7" ht="15" customHeight="1" x14ac:dyDescent="0.3">
      <c r="G1211" s="34"/>
    </row>
    <row r="1212" spans="7:7" ht="15" customHeight="1" x14ac:dyDescent="0.3">
      <c r="G1212" s="34"/>
    </row>
    <row r="1213" spans="7:7" ht="15" customHeight="1" x14ac:dyDescent="0.3">
      <c r="G1213" s="34"/>
    </row>
    <row r="1214" spans="7:7" ht="15" customHeight="1" x14ac:dyDescent="0.3">
      <c r="G1214" s="34"/>
    </row>
    <row r="1215" spans="7:7" ht="15" customHeight="1" x14ac:dyDescent="0.3">
      <c r="G1215" s="34"/>
    </row>
    <row r="1216" spans="7:7" ht="15" customHeight="1" x14ac:dyDescent="0.3">
      <c r="G1216" s="34"/>
    </row>
    <row r="1217" spans="7:7" ht="15" customHeight="1" x14ac:dyDescent="0.3">
      <c r="G1217" s="34"/>
    </row>
    <row r="1218" spans="7:7" ht="15" customHeight="1" x14ac:dyDescent="0.3">
      <c r="G1218" s="34"/>
    </row>
    <row r="1219" spans="7:7" ht="15" customHeight="1" x14ac:dyDescent="0.3">
      <c r="G1219" s="34"/>
    </row>
    <row r="1220" spans="7:7" ht="15" customHeight="1" x14ac:dyDescent="0.3">
      <c r="G1220" s="34"/>
    </row>
    <row r="1221" spans="7:7" ht="15" customHeight="1" x14ac:dyDescent="0.3">
      <c r="G1221" s="34"/>
    </row>
    <row r="1222" spans="7:7" ht="15" customHeight="1" x14ac:dyDescent="0.3">
      <c r="G1222" s="34"/>
    </row>
    <row r="1223" spans="7:7" ht="15" customHeight="1" x14ac:dyDescent="0.3">
      <c r="G1223" s="34"/>
    </row>
    <row r="1224" spans="7:7" ht="15" customHeight="1" x14ac:dyDescent="0.3">
      <c r="G1224" s="34"/>
    </row>
    <row r="1225" spans="7:7" ht="15" customHeight="1" x14ac:dyDescent="0.3">
      <c r="G1225" s="34"/>
    </row>
    <row r="1226" spans="7:7" ht="15" customHeight="1" x14ac:dyDescent="0.3">
      <c r="G1226" s="34"/>
    </row>
    <row r="1227" spans="7:7" ht="15" customHeight="1" x14ac:dyDescent="0.3">
      <c r="G1227" s="34"/>
    </row>
    <row r="1228" spans="7:7" ht="15" customHeight="1" x14ac:dyDescent="0.3">
      <c r="G1228" s="34"/>
    </row>
    <row r="1229" spans="7:7" ht="15" customHeight="1" x14ac:dyDescent="0.3">
      <c r="G1229" s="34"/>
    </row>
    <row r="1230" spans="7:7" ht="15" customHeight="1" x14ac:dyDescent="0.3">
      <c r="G1230" s="34"/>
    </row>
    <row r="1231" spans="7:7" ht="15" customHeight="1" x14ac:dyDescent="0.3">
      <c r="G1231" s="34"/>
    </row>
    <row r="1232" spans="7:7" ht="15" customHeight="1" x14ac:dyDescent="0.3">
      <c r="G1232" s="34"/>
    </row>
    <row r="1233" spans="7:7" ht="15" customHeight="1" x14ac:dyDescent="0.3">
      <c r="G1233" s="34"/>
    </row>
    <row r="1234" spans="7:7" ht="15" customHeight="1" x14ac:dyDescent="0.3">
      <c r="G1234" s="34"/>
    </row>
    <row r="1235" spans="7:7" ht="15" customHeight="1" x14ac:dyDescent="0.3">
      <c r="G1235" s="34"/>
    </row>
    <row r="1236" spans="7:7" ht="15" customHeight="1" x14ac:dyDescent="0.3">
      <c r="G1236" s="34"/>
    </row>
    <row r="1237" spans="7:7" ht="15" customHeight="1" x14ac:dyDescent="0.3">
      <c r="G1237" s="34"/>
    </row>
    <row r="1238" spans="7:7" ht="15" customHeight="1" x14ac:dyDescent="0.3">
      <c r="G1238" s="34"/>
    </row>
    <row r="1239" spans="7:7" ht="15" customHeight="1" x14ac:dyDescent="0.3">
      <c r="G1239" s="34"/>
    </row>
    <row r="1240" spans="7:7" ht="15" customHeight="1" x14ac:dyDescent="0.3">
      <c r="G1240" s="34"/>
    </row>
    <row r="1241" spans="7:7" ht="15" customHeight="1" x14ac:dyDescent="0.3">
      <c r="G1241" s="34"/>
    </row>
    <row r="1242" spans="7:7" ht="15" customHeight="1" x14ac:dyDescent="0.3">
      <c r="G1242" s="34"/>
    </row>
    <row r="1243" spans="7:7" ht="15" customHeight="1" x14ac:dyDescent="0.3">
      <c r="G1243" s="34"/>
    </row>
    <row r="1244" spans="7:7" ht="15" customHeight="1" x14ac:dyDescent="0.3">
      <c r="G1244" s="34"/>
    </row>
    <row r="1245" spans="7:7" ht="15" customHeight="1" x14ac:dyDescent="0.3">
      <c r="G1245" s="34"/>
    </row>
    <row r="1246" spans="7:7" ht="15" customHeight="1" x14ac:dyDescent="0.3">
      <c r="G1246" s="34"/>
    </row>
    <row r="1247" spans="7:7" ht="15" customHeight="1" x14ac:dyDescent="0.3">
      <c r="G1247" s="34"/>
    </row>
    <row r="1248" spans="7:7" ht="15" customHeight="1" x14ac:dyDescent="0.3">
      <c r="G1248" s="34"/>
    </row>
    <row r="1249" spans="7:7" ht="15" customHeight="1" x14ac:dyDescent="0.3">
      <c r="G1249" s="34"/>
    </row>
    <row r="1250" spans="7:7" ht="15" customHeight="1" x14ac:dyDescent="0.3">
      <c r="G1250" s="34"/>
    </row>
    <row r="1251" spans="7:7" ht="15" customHeight="1" x14ac:dyDescent="0.3">
      <c r="G1251" s="34"/>
    </row>
    <row r="1252" spans="7:7" ht="15" customHeight="1" x14ac:dyDescent="0.3">
      <c r="G1252" s="34"/>
    </row>
    <row r="1253" spans="7:7" ht="15" customHeight="1" x14ac:dyDescent="0.3">
      <c r="G1253" s="34"/>
    </row>
    <row r="1254" spans="7:7" ht="15" customHeight="1" x14ac:dyDescent="0.3">
      <c r="G1254" s="34"/>
    </row>
    <row r="1255" spans="7:7" ht="15" customHeight="1" x14ac:dyDescent="0.3">
      <c r="G1255" s="34"/>
    </row>
    <row r="1256" spans="7:7" ht="15" customHeight="1" x14ac:dyDescent="0.3">
      <c r="G1256" s="34"/>
    </row>
    <row r="1257" spans="7:7" ht="15" customHeight="1" x14ac:dyDescent="0.3">
      <c r="G1257" s="34"/>
    </row>
    <row r="1258" spans="7:7" ht="15" customHeight="1" x14ac:dyDescent="0.3">
      <c r="G1258" s="34"/>
    </row>
    <row r="1259" spans="7:7" ht="15" customHeight="1" x14ac:dyDescent="0.3">
      <c r="G1259" s="34"/>
    </row>
    <row r="1260" spans="7:7" ht="15" customHeight="1" x14ac:dyDescent="0.3">
      <c r="G1260" s="34"/>
    </row>
    <row r="1261" spans="7:7" ht="15" customHeight="1" x14ac:dyDescent="0.3">
      <c r="G1261" s="34"/>
    </row>
    <row r="1262" spans="7:7" ht="15" customHeight="1" x14ac:dyDescent="0.3">
      <c r="G1262" s="34"/>
    </row>
    <row r="1263" spans="7:7" ht="15" customHeight="1" x14ac:dyDescent="0.3">
      <c r="G1263" s="34"/>
    </row>
    <row r="1264" spans="7:7" ht="15" customHeight="1" x14ac:dyDescent="0.3">
      <c r="G1264" s="34"/>
    </row>
    <row r="1265" spans="7:7" ht="15" customHeight="1" x14ac:dyDescent="0.3">
      <c r="G1265" s="34"/>
    </row>
    <row r="1266" spans="7:7" ht="15" customHeight="1" x14ac:dyDescent="0.3">
      <c r="G1266" s="34"/>
    </row>
    <row r="1267" spans="7:7" ht="15" customHeight="1" x14ac:dyDescent="0.3">
      <c r="G1267" s="34"/>
    </row>
    <row r="1268" spans="7:7" ht="15" customHeight="1" x14ac:dyDescent="0.3">
      <c r="G1268" s="34"/>
    </row>
    <row r="1269" spans="7:7" ht="15" customHeight="1" x14ac:dyDescent="0.3">
      <c r="G1269" s="34"/>
    </row>
    <row r="1270" spans="7:7" ht="15" customHeight="1" x14ac:dyDescent="0.3">
      <c r="G1270" s="34"/>
    </row>
    <row r="1271" spans="7:7" ht="15" customHeight="1" x14ac:dyDescent="0.3">
      <c r="G1271" s="34"/>
    </row>
    <row r="1272" spans="7:7" ht="15" customHeight="1" x14ac:dyDescent="0.3">
      <c r="G1272" s="34"/>
    </row>
    <row r="1273" spans="7:7" ht="15" customHeight="1" x14ac:dyDescent="0.3">
      <c r="G1273" s="34"/>
    </row>
    <row r="1274" spans="7:7" ht="15" customHeight="1" x14ac:dyDescent="0.3">
      <c r="G1274" s="34"/>
    </row>
    <row r="1275" spans="7:7" ht="15" customHeight="1" x14ac:dyDescent="0.3">
      <c r="G1275" s="34"/>
    </row>
    <row r="1276" spans="7:7" ht="15" customHeight="1" x14ac:dyDescent="0.3">
      <c r="G1276" s="34"/>
    </row>
    <row r="1277" spans="7:7" ht="15" customHeight="1" x14ac:dyDescent="0.3">
      <c r="G1277" s="34"/>
    </row>
    <row r="1278" spans="7:7" ht="15" customHeight="1" x14ac:dyDescent="0.3">
      <c r="G1278" s="34"/>
    </row>
    <row r="1279" spans="7:7" ht="15" customHeight="1" x14ac:dyDescent="0.3">
      <c r="G1279" s="34"/>
    </row>
    <row r="1280" spans="7:7" ht="15" customHeight="1" x14ac:dyDescent="0.3">
      <c r="G1280" s="34"/>
    </row>
    <row r="1281" spans="7:7" ht="15" customHeight="1" x14ac:dyDescent="0.3">
      <c r="G1281" s="34"/>
    </row>
    <row r="1282" spans="7:7" ht="15" customHeight="1" x14ac:dyDescent="0.3">
      <c r="G1282" s="34"/>
    </row>
    <row r="1283" spans="7:7" ht="15" customHeight="1" x14ac:dyDescent="0.3">
      <c r="G1283" s="34"/>
    </row>
    <row r="1284" spans="7:7" ht="15" customHeight="1" x14ac:dyDescent="0.3">
      <c r="G1284" s="34"/>
    </row>
    <row r="1285" spans="7:7" ht="15" customHeight="1" x14ac:dyDescent="0.3">
      <c r="G1285" s="34"/>
    </row>
    <row r="1286" spans="7:7" ht="15" customHeight="1" x14ac:dyDescent="0.3">
      <c r="G1286" s="34"/>
    </row>
    <row r="1287" spans="7:7" ht="15" customHeight="1" x14ac:dyDescent="0.3">
      <c r="G1287" s="34"/>
    </row>
    <row r="1288" spans="7:7" ht="15" customHeight="1" x14ac:dyDescent="0.3">
      <c r="G1288" s="34"/>
    </row>
    <row r="1289" spans="7:7" ht="15" customHeight="1" x14ac:dyDescent="0.3">
      <c r="G1289" s="34"/>
    </row>
    <row r="1290" spans="7:7" ht="15" customHeight="1" x14ac:dyDescent="0.3">
      <c r="G1290" s="34"/>
    </row>
    <row r="1291" spans="7:7" ht="15" customHeight="1" x14ac:dyDescent="0.3">
      <c r="G1291" s="34"/>
    </row>
    <row r="1292" spans="7:7" ht="15" customHeight="1" x14ac:dyDescent="0.3">
      <c r="G1292" s="34"/>
    </row>
    <row r="1293" spans="7:7" ht="15" customHeight="1" x14ac:dyDescent="0.3">
      <c r="G1293" s="34"/>
    </row>
    <row r="1294" spans="7:7" ht="15" customHeight="1" x14ac:dyDescent="0.3">
      <c r="G1294" s="34"/>
    </row>
    <row r="1295" spans="7:7" ht="15" customHeight="1" x14ac:dyDescent="0.3">
      <c r="G1295" s="34"/>
    </row>
    <row r="1296" spans="7:7" ht="15" customHeight="1" x14ac:dyDescent="0.3">
      <c r="G1296" s="34"/>
    </row>
    <row r="1297" spans="7:7" ht="15" customHeight="1" x14ac:dyDescent="0.3">
      <c r="G1297" s="34"/>
    </row>
    <row r="1298" spans="7:7" ht="15" customHeight="1" x14ac:dyDescent="0.3">
      <c r="G1298" s="34"/>
    </row>
    <row r="1299" spans="7:7" ht="15" customHeight="1" x14ac:dyDescent="0.3">
      <c r="G1299" s="34"/>
    </row>
    <row r="1300" spans="7:7" ht="15" customHeight="1" x14ac:dyDescent="0.3">
      <c r="G1300" s="34"/>
    </row>
    <row r="1301" spans="7:7" ht="15" customHeight="1" x14ac:dyDescent="0.3">
      <c r="G1301" s="34"/>
    </row>
    <row r="1302" spans="7:7" ht="15" customHeight="1" x14ac:dyDescent="0.3">
      <c r="G1302" s="34"/>
    </row>
    <row r="1303" spans="7:7" ht="15" customHeight="1" x14ac:dyDescent="0.3">
      <c r="G1303" s="34"/>
    </row>
    <row r="1304" spans="7:7" ht="15" customHeight="1" x14ac:dyDescent="0.3">
      <c r="G1304" s="34"/>
    </row>
    <row r="1305" spans="7:7" ht="15" customHeight="1" x14ac:dyDescent="0.3">
      <c r="G1305" s="34"/>
    </row>
    <row r="1306" spans="7:7" ht="15" customHeight="1" x14ac:dyDescent="0.3">
      <c r="G1306" s="34"/>
    </row>
    <row r="1307" spans="7:7" ht="15" customHeight="1" x14ac:dyDescent="0.3">
      <c r="G1307" s="34"/>
    </row>
    <row r="1308" spans="7:7" ht="15" customHeight="1" x14ac:dyDescent="0.3">
      <c r="G1308" s="34"/>
    </row>
    <row r="1309" spans="7:7" ht="15" customHeight="1" x14ac:dyDescent="0.3">
      <c r="G1309" s="34"/>
    </row>
    <row r="1310" spans="7:7" ht="15" customHeight="1" x14ac:dyDescent="0.3">
      <c r="G1310" s="34"/>
    </row>
    <row r="1311" spans="7:7" ht="15" customHeight="1" x14ac:dyDescent="0.3">
      <c r="G1311" s="34"/>
    </row>
    <row r="1312" spans="7:7" ht="15" customHeight="1" x14ac:dyDescent="0.3">
      <c r="G1312" s="34"/>
    </row>
    <row r="1313" spans="7:7" ht="15" customHeight="1" x14ac:dyDescent="0.3">
      <c r="G1313" s="34"/>
    </row>
    <row r="1314" spans="7:7" ht="15" customHeight="1" x14ac:dyDescent="0.3">
      <c r="G1314" s="34"/>
    </row>
    <row r="1315" spans="7:7" ht="15" customHeight="1" x14ac:dyDescent="0.3">
      <c r="G1315" s="34"/>
    </row>
    <row r="1316" spans="7:7" ht="15" customHeight="1" x14ac:dyDescent="0.3">
      <c r="G1316" s="34"/>
    </row>
    <row r="1317" spans="7:7" ht="15" customHeight="1" x14ac:dyDescent="0.3">
      <c r="G1317" s="34"/>
    </row>
    <row r="1318" spans="7:7" ht="15" customHeight="1" x14ac:dyDescent="0.3">
      <c r="G1318" s="34"/>
    </row>
    <row r="1319" spans="7:7" ht="15" customHeight="1" x14ac:dyDescent="0.3">
      <c r="G1319" s="34"/>
    </row>
    <row r="1320" spans="7:7" ht="15" customHeight="1" x14ac:dyDescent="0.3">
      <c r="G1320" s="34"/>
    </row>
    <row r="1321" spans="7:7" ht="15" customHeight="1" x14ac:dyDescent="0.3">
      <c r="G1321" s="34"/>
    </row>
    <row r="1322" spans="7:7" ht="15" customHeight="1" x14ac:dyDescent="0.3">
      <c r="G1322" s="34"/>
    </row>
    <row r="1323" spans="7:7" ht="15" customHeight="1" x14ac:dyDescent="0.3">
      <c r="G1323" s="34"/>
    </row>
    <row r="1324" spans="7:7" ht="15" customHeight="1" x14ac:dyDescent="0.3">
      <c r="G1324" s="34"/>
    </row>
    <row r="1325" spans="7:7" ht="15" customHeight="1" x14ac:dyDescent="0.3">
      <c r="G1325" s="34"/>
    </row>
    <row r="1326" spans="7:7" ht="15" customHeight="1" x14ac:dyDescent="0.3">
      <c r="G1326" s="34"/>
    </row>
    <row r="1327" spans="7:7" ht="15" customHeight="1" x14ac:dyDescent="0.3">
      <c r="G1327" s="34"/>
    </row>
    <row r="1328" spans="7:7" ht="15" customHeight="1" x14ac:dyDescent="0.3">
      <c r="G1328" s="34"/>
    </row>
    <row r="1329" spans="7:7" ht="15" customHeight="1" x14ac:dyDescent="0.3">
      <c r="G1329" s="34"/>
    </row>
    <row r="1330" spans="7:7" ht="15" customHeight="1" x14ac:dyDescent="0.3">
      <c r="G1330" s="34"/>
    </row>
    <row r="1331" spans="7:7" ht="15" customHeight="1" x14ac:dyDescent="0.3">
      <c r="G1331" s="34"/>
    </row>
    <row r="1332" spans="7:7" ht="15" customHeight="1" x14ac:dyDescent="0.3">
      <c r="G1332" s="34"/>
    </row>
    <row r="1333" spans="7:7" ht="15" customHeight="1" x14ac:dyDescent="0.3">
      <c r="G1333" s="34"/>
    </row>
    <row r="1334" spans="7:7" ht="15" customHeight="1" x14ac:dyDescent="0.3">
      <c r="G1334" s="34"/>
    </row>
    <row r="1335" spans="7:7" ht="15" customHeight="1" x14ac:dyDescent="0.3">
      <c r="G1335" s="34"/>
    </row>
    <row r="1336" spans="7:7" ht="15" customHeight="1" x14ac:dyDescent="0.3">
      <c r="G1336" s="34"/>
    </row>
    <row r="1337" spans="7:7" ht="15" customHeight="1" x14ac:dyDescent="0.3">
      <c r="G1337" s="34"/>
    </row>
    <row r="1338" spans="7:7" ht="15" customHeight="1" x14ac:dyDescent="0.3">
      <c r="G1338" s="34"/>
    </row>
    <row r="1339" spans="7:7" ht="15" customHeight="1" x14ac:dyDescent="0.3">
      <c r="G1339" s="34"/>
    </row>
    <row r="1340" spans="7:7" ht="15" customHeight="1" x14ac:dyDescent="0.3">
      <c r="G1340" s="34"/>
    </row>
    <row r="1341" spans="7:7" ht="15" customHeight="1" x14ac:dyDescent="0.3">
      <c r="G1341" s="34"/>
    </row>
    <row r="1342" spans="7:7" ht="15" customHeight="1" x14ac:dyDescent="0.3">
      <c r="G1342" s="34"/>
    </row>
    <row r="1343" spans="7:7" ht="15" customHeight="1" x14ac:dyDescent="0.3">
      <c r="G1343" s="34"/>
    </row>
    <row r="1344" spans="7:7" ht="15" customHeight="1" x14ac:dyDescent="0.3">
      <c r="G1344" s="34"/>
    </row>
    <row r="1345" spans="7:7" ht="15" customHeight="1" x14ac:dyDescent="0.3">
      <c r="G1345" s="34"/>
    </row>
    <row r="1346" spans="7:7" ht="15" customHeight="1" x14ac:dyDescent="0.3">
      <c r="G1346" s="34"/>
    </row>
    <row r="1347" spans="7:7" ht="15" customHeight="1" x14ac:dyDescent="0.3">
      <c r="G1347" s="34"/>
    </row>
    <row r="1348" spans="7:7" ht="15" customHeight="1" x14ac:dyDescent="0.3">
      <c r="G1348" s="34"/>
    </row>
    <row r="1349" spans="7:7" ht="15" customHeight="1" x14ac:dyDescent="0.3">
      <c r="G1349" s="34"/>
    </row>
    <row r="1350" spans="7:7" ht="15" customHeight="1" x14ac:dyDescent="0.3">
      <c r="G1350" s="34"/>
    </row>
    <row r="1351" spans="7:7" ht="15" customHeight="1" x14ac:dyDescent="0.3">
      <c r="G1351" s="34"/>
    </row>
    <row r="1352" spans="7:7" ht="15" customHeight="1" x14ac:dyDescent="0.3">
      <c r="G1352" s="34"/>
    </row>
    <row r="1353" spans="7:7" ht="15" customHeight="1" x14ac:dyDescent="0.3">
      <c r="G1353" s="34"/>
    </row>
    <row r="1354" spans="7:7" ht="15" customHeight="1" x14ac:dyDescent="0.3">
      <c r="G1354" s="34"/>
    </row>
    <row r="1355" spans="7:7" ht="15" customHeight="1" x14ac:dyDescent="0.3">
      <c r="G1355" s="34"/>
    </row>
    <row r="1356" spans="7:7" ht="15" customHeight="1" x14ac:dyDescent="0.3">
      <c r="G1356" s="34"/>
    </row>
    <row r="1357" spans="7:7" ht="15" customHeight="1" x14ac:dyDescent="0.3">
      <c r="G1357" s="34"/>
    </row>
    <row r="1358" spans="7:7" ht="15" customHeight="1" x14ac:dyDescent="0.3">
      <c r="G1358" s="34"/>
    </row>
    <row r="1359" spans="7:7" ht="15" customHeight="1" x14ac:dyDescent="0.3">
      <c r="G1359" s="34"/>
    </row>
    <row r="1360" spans="7:7" ht="15" customHeight="1" x14ac:dyDescent="0.3">
      <c r="G1360" s="34"/>
    </row>
    <row r="1361" spans="7:7" ht="15" customHeight="1" x14ac:dyDescent="0.3">
      <c r="G1361" s="34"/>
    </row>
    <row r="1362" spans="7:7" ht="15" customHeight="1" x14ac:dyDescent="0.3">
      <c r="G1362" s="34"/>
    </row>
    <row r="1363" spans="7:7" ht="15" customHeight="1" x14ac:dyDescent="0.3">
      <c r="G1363" s="34"/>
    </row>
    <row r="1364" spans="7:7" ht="15" customHeight="1" x14ac:dyDescent="0.3">
      <c r="G1364" s="34"/>
    </row>
    <row r="1365" spans="7:7" ht="15" customHeight="1" x14ac:dyDescent="0.3">
      <c r="G1365" s="34"/>
    </row>
    <row r="1366" spans="7:7" ht="15" customHeight="1" x14ac:dyDescent="0.3">
      <c r="G1366" s="34"/>
    </row>
    <row r="1367" spans="7:7" ht="15" customHeight="1" x14ac:dyDescent="0.3">
      <c r="G1367" s="34"/>
    </row>
    <row r="1368" spans="7:7" ht="15" customHeight="1" x14ac:dyDescent="0.3">
      <c r="G1368" s="34"/>
    </row>
    <row r="1369" spans="7:7" ht="15" customHeight="1" x14ac:dyDescent="0.3">
      <c r="G1369" s="34"/>
    </row>
    <row r="1370" spans="7:7" ht="15" customHeight="1" x14ac:dyDescent="0.3">
      <c r="G1370" s="34"/>
    </row>
    <row r="1371" spans="7:7" ht="15" customHeight="1" x14ac:dyDescent="0.3">
      <c r="G1371" s="34"/>
    </row>
    <row r="1372" spans="7:7" ht="15" customHeight="1" x14ac:dyDescent="0.3">
      <c r="G1372" s="34"/>
    </row>
    <row r="1373" spans="7:7" ht="15" customHeight="1" x14ac:dyDescent="0.3">
      <c r="G1373" s="34"/>
    </row>
    <row r="1374" spans="7:7" ht="15" customHeight="1" x14ac:dyDescent="0.3">
      <c r="G1374" s="34"/>
    </row>
    <row r="1375" spans="7:7" ht="15" customHeight="1" x14ac:dyDescent="0.3">
      <c r="G1375" s="34"/>
    </row>
    <row r="1376" spans="7:7" ht="15" customHeight="1" x14ac:dyDescent="0.3">
      <c r="G1376" s="34"/>
    </row>
    <row r="1377" spans="7:7" ht="15" customHeight="1" x14ac:dyDescent="0.3">
      <c r="G1377" s="34"/>
    </row>
    <row r="1378" spans="7:7" ht="15" customHeight="1" x14ac:dyDescent="0.3">
      <c r="G1378" s="34"/>
    </row>
    <row r="1379" spans="7:7" ht="15" customHeight="1" x14ac:dyDescent="0.3">
      <c r="G1379" s="34"/>
    </row>
    <row r="1380" spans="7:7" ht="15" customHeight="1" x14ac:dyDescent="0.3">
      <c r="G1380" s="34"/>
    </row>
    <row r="1381" spans="7:7" ht="15" customHeight="1" x14ac:dyDescent="0.3">
      <c r="G1381" s="34"/>
    </row>
    <row r="1382" spans="7:7" ht="15" customHeight="1" x14ac:dyDescent="0.3">
      <c r="G1382" s="34"/>
    </row>
    <row r="1383" spans="7:7" ht="15" customHeight="1" x14ac:dyDescent="0.3">
      <c r="G1383" s="34"/>
    </row>
    <row r="1384" spans="7:7" ht="15" customHeight="1" x14ac:dyDescent="0.3">
      <c r="G1384" s="34"/>
    </row>
    <row r="1385" spans="7:7" ht="15" customHeight="1" x14ac:dyDescent="0.3">
      <c r="G1385" s="34"/>
    </row>
    <row r="1386" spans="7:7" ht="15" customHeight="1" x14ac:dyDescent="0.3">
      <c r="G1386" s="34"/>
    </row>
    <row r="1387" spans="7:7" ht="15" customHeight="1" x14ac:dyDescent="0.3">
      <c r="G1387" s="34"/>
    </row>
    <row r="1388" spans="7:7" ht="15" customHeight="1" x14ac:dyDescent="0.3">
      <c r="G1388" s="34"/>
    </row>
    <row r="1389" spans="7:7" ht="15" customHeight="1" x14ac:dyDescent="0.3">
      <c r="G1389" s="34"/>
    </row>
    <row r="1390" spans="7:7" ht="15" customHeight="1" x14ac:dyDescent="0.3">
      <c r="G1390" s="34"/>
    </row>
    <row r="1391" spans="7:7" ht="15" customHeight="1" x14ac:dyDescent="0.3">
      <c r="G1391" s="34"/>
    </row>
    <row r="1392" spans="7:7" ht="15" customHeight="1" x14ac:dyDescent="0.3">
      <c r="G1392" s="34"/>
    </row>
    <row r="1393" spans="7:7" ht="15" customHeight="1" x14ac:dyDescent="0.3">
      <c r="G1393" s="34"/>
    </row>
    <row r="1394" spans="7:7" ht="15" customHeight="1" x14ac:dyDescent="0.3">
      <c r="G1394" s="34"/>
    </row>
    <row r="1395" spans="7:7" ht="15" customHeight="1" x14ac:dyDescent="0.3">
      <c r="G1395" s="34"/>
    </row>
    <row r="1396" spans="7:7" ht="15" customHeight="1" x14ac:dyDescent="0.3">
      <c r="G1396" s="34"/>
    </row>
    <row r="1397" spans="7:7" ht="15" customHeight="1" x14ac:dyDescent="0.3">
      <c r="G1397" s="34"/>
    </row>
    <row r="1398" spans="7:7" ht="15" customHeight="1" x14ac:dyDescent="0.3">
      <c r="G1398" s="34"/>
    </row>
    <row r="1399" spans="7:7" ht="15" customHeight="1" x14ac:dyDescent="0.3">
      <c r="G1399" s="34"/>
    </row>
    <row r="1400" spans="7:7" ht="15" customHeight="1" x14ac:dyDescent="0.3">
      <c r="G1400" s="34"/>
    </row>
    <row r="1401" spans="7:7" ht="15" customHeight="1" x14ac:dyDescent="0.3">
      <c r="G1401" s="34"/>
    </row>
    <row r="1402" spans="7:7" ht="15" customHeight="1" x14ac:dyDescent="0.3">
      <c r="G1402" s="34"/>
    </row>
    <row r="1403" spans="7:7" ht="15" customHeight="1" x14ac:dyDescent="0.3">
      <c r="G1403" s="34"/>
    </row>
    <row r="1404" spans="7:7" ht="15" customHeight="1" x14ac:dyDescent="0.3">
      <c r="G1404" s="34"/>
    </row>
    <row r="1405" spans="7:7" ht="15" customHeight="1" x14ac:dyDescent="0.3">
      <c r="G1405" s="34"/>
    </row>
    <row r="1406" spans="7:7" ht="15" customHeight="1" x14ac:dyDescent="0.3">
      <c r="G1406" s="34"/>
    </row>
    <row r="1407" spans="7:7" ht="15" customHeight="1" x14ac:dyDescent="0.3">
      <c r="G1407" s="34"/>
    </row>
    <row r="1408" spans="7:7" ht="15" customHeight="1" x14ac:dyDescent="0.3">
      <c r="G1408" s="34"/>
    </row>
    <row r="1409" spans="7:7" ht="15" customHeight="1" x14ac:dyDescent="0.3">
      <c r="G1409" s="34"/>
    </row>
    <row r="1410" spans="7:7" ht="15" customHeight="1" x14ac:dyDescent="0.3">
      <c r="G1410" s="34"/>
    </row>
    <row r="1411" spans="7:7" ht="15" customHeight="1" x14ac:dyDescent="0.3">
      <c r="G1411" s="34"/>
    </row>
    <row r="1412" spans="7:7" ht="15" customHeight="1" x14ac:dyDescent="0.3">
      <c r="G1412" s="34"/>
    </row>
    <row r="1413" spans="7:7" ht="15" customHeight="1" x14ac:dyDescent="0.3">
      <c r="G1413" s="34"/>
    </row>
    <row r="1414" spans="7:7" ht="15" customHeight="1" x14ac:dyDescent="0.3">
      <c r="G1414" s="34"/>
    </row>
    <row r="1415" spans="7:7" ht="15" customHeight="1" x14ac:dyDescent="0.3">
      <c r="G1415" s="34"/>
    </row>
    <row r="1416" spans="7:7" ht="15" customHeight="1" x14ac:dyDescent="0.3">
      <c r="G1416" s="34"/>
    </row>
    <row r="1417" spans="7:7" ht="15" customHeight="1" x14ac:dyDescent="0.3">
      <c r="G1417" s="34"/>
    </row>
    <row r="1418" spans="7:7" ht="15" customHeight="1" x14ac:dyDescent="0.3">
      <c r="G1418" s="34"/>
    </row>
    <row r="1419" spans="7:7" ht="15" customHeight="1" x14ac:dyDescent="0.3">
      <c r="G1419" s="34"/>
    </row>
    <row r="1420" spans="7:7" ht="15" customHeight="1" x14ac:dyDescent="0.3">
      <c r="G1420" s="34"/>
    </row>
    <row r="1421" spans="7:7" ht="15" customHeight="1" x14ac:dyDescent="0.3">
      <c r="G1421" s="34"/>
    </row>
    <row r="1422" spans="7:7" ht="15" customHeight="1" x14ac:dyDescent="0.3">
      <c r="G1422" s="34"/>
    </row>
    <row r="1423" spans="7:7" ht="15" customHeight="1" x14ac:dyDescent="0.3">
      <c r="G1423" s="34"/>
    </row>
    <row r="1424" spans="7:7" ht="15" customHeight="1" x14ac:dyDescent="0.3">
      <c r="G1424" s="34"/>
    </row>
    <row r="1425" spans="7:7" ht="15" customHeight="1" x14ac:dyDescent="0.3">
      <c r="G1425" s="34"/>
    </row>
    <row r="1426" spans="7:7" ht="15" customHeight="1" x14ac:dyDescent="0.3">
      <c r="G1426" s="34"/>
    </row>
    <row r="1427" spans="7:7" ht="15" customHeight="1" x14ac:dyDescent="0.3">
      <c r="G1427" s="34"/>
    </row>
    <row r="1428" spans="7:7" ht="15" customHeight="1" x14ac:dyDescent="0.3">
      <c r="G1428" s="34"/>
    </row>
    <row r="1429" spans="7:7" ht="15" customHeight="1" x14ac:dyDescent="0.3">
      <c r="G1429" s="34"/>
    </row>
    <row r="1430" spans="7:7" ht="15" customHeight="1" x14ac:dyDescent="0.3">
      <c r="G1430" s="34"/>
    </row>
    <row r="1431" spans="7:7" ht="15" customHeight="1" x14ac:dyDescent="0.3">
      <c r="G1431" s="3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BR36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9" sqref="A9"/>
      <selection pane="bottomRight" activeCell="AS55" sqref="M42:AS55"/>
    </sheetView>
  </sheetViews>
  <sheetFormatPr defaultColWidth="8.59765625" defaultRowHeight="15.6" x14ac:dyDescent="0.3"/>
  <cols>
    <col min="1" max="1" width="30" customWidth="1"/>
    <col min="2" max="17" width="16" customWidth="1"/>
    <col min="18" max="22" width="9.5" bestFit="1" customWidth="1"/>
    <col min="23" max="28" width="9.59765625" bestFit="1" customWidth="1"/>
    <col min="29" max="29" width="12.8984375" bestFit="1" customWidth="1"/>
    <col min="30" max="30" width="11.796875" bestFit="1" customWidth="1"/>
    <col min="31" max="34" width="9.5" bestFit="1" customWidth="1"/>
  </cols>
  <sheetData>
    <row r="2" spans="1:70" ht="15" customHeight="1" x14ac:dyDescent="0.3">
      <c r="B2" s="33">
        <v>44287</v>
      </c>
      <c r="C2" s="33">
        <v>44317</v>
      </c>
      <c r="D2" s="33">
        <v>44348</v>
      </c>
      <c r="E2" s="33">
        <v>44378</v>
      </c>
      <c r="F2" s="33">
        <v>44409</v>
      </c>
      <c r="G2" s="33">
        <v>44440</v>
      </c>
      <c r="H2" s="33">
        <v>44470</v>
      </c>
      <c r="I2" s="33">
        <v>44501</v>
      </c>
      <c r="J2" s="33">
        <v>44531</v>
      </c>
      <c r="K2" s="33">
        <v>44562</v>
      </c>
      <c r="L2" s="33">
        <v>44593</v>
      </c>
      <c r="M2" s="33">
        <v>44621</v>
      </c>
      <c r="N2" s="33">
        <v>44652</v>
      </c>
      <c r="O2" s="33">
        <v>44682</v>
      </c>
      <c r="P2" s="33">
        <v>44713</v>
      </c>
      <c r="Q2" s="33">
        <v>44743</v>
      </c>
      <c r="R2" s="33">
        <v>44774</v>
      </c>
      <c r="S2" s="33">
        <v>44805</v>
      </c>
      <c r="T2" s="33">
        <v>44835</v>
      </c>
      <c r="U2" s="33">
        <v>44866</v>
      </c>
      <c r="V2" s="33">
        <v>44896</v>
      </c>
      <c r="W2" s="33">
        <v>44927</v>
      </c>
      <c r="X2" s="33">
        <v>44958</v>
      </c>
      <c r="Y2" s="33">
        <v>44986</v>
      </c>
      <c r="Z2" s="33">
        <v>45017</v>
      </c>
      <c r="AA2" s="33">
        <v>45047</v>
      </c>
      <c r="AB2" s="33">
        <v>45078</v>
      </c>
      <c r="AC2" s="33">
        <v>45108</v>
      </c>
      <c r="AD2" s="33">
        <v>45139</v>
      </c>
      <c r="AE2" s="33">
        <v>45170</v>
      </c>
      <c r="AF2" s="33">
        <v>45200</v>
      </c>
      <c r="AG2" s="33">
        <v>45231</v>
      </c>
      <c r="AH2" s="33">
        <v>45261</v>
      </c>
      <c r="AI2" s="33">
        <v>45292</v>
      </c>
      <c r="AJ2" s="33">
        <v>45323</v>
      </c>
      <c r="AK2" s="33">
        <v>45352</v>
      </c>
      <c r="AL2" s="33">
        <v>45383</v>
      </c>
      <c r="AM2" s="33">
        <v>45413</v>
      </c>
      <c r="AN2" s="33">
        <v>45444</v>
      </c>
      <c r="AO2" s="33">
        <v>45474</v>
      </c>
      <c r="AP2" s="33">
        <v>45505</v>
      </c>
      <c r="AQ2" s="33">
        <v>45536</v>
      </c>
      <c r="AR2" s="33">
        <v>45566</v>
      </c>
      <c r="AS2" s="33">
        <v>45597</v>
      </c>
      <c r="AT2" s="33">
        <v>45627</v>
      </c>
      <c r="AU2" s="33">
        <v>45658</v>
      </c>
      <c r="AV2" s="33">
        <v>45689</v>
      </c>
      <c r="AW2" s="33">
        <v>45717</v>
      </c>
      <c r="AX2" s="33">
        <v>45748</v>
      </c>
      <c r="AY2" s="33">
        <v>45778</v>
      </c>
      <c r="AZ2" s="33">
        <v>45809</v>
      </c>
      <c r="BA2" s="33">
        <v>45839</v>
      </c>
      <c r="BB2" s="33">
        <v>45870</v>
      </c>
      <c r="BC2" s="33">
        <v>45901</v>
      </c>
      <c r="BD2" s="33">
        <v>45931</v>
      </c>
      <c r="BE2" s="33">
        <v>45962</v>
      </c>
      <c r="BF2" s="33">
        <v>45992</v>
      </c>
      <c r="BG2" s="33">
        <v>46023</v>
      </c>
      <c r="BH2" s="33">
        <v>46054</v>
      </c>
      <c r="BI2" s="33">
        <v>46082</v>
      </c>
      <c r="BJ2" s="42">
        <v>46113</v>
      </c>
      <c r="BK2" s="42">
        <v>46143</v>
      </c>
      <c r="BL2" s="42">
        <v>46174</v>
      </c>
      <c r="BM2" s="42">
        <v>46204</v>
      </c>
      <c r="BN2" s="42">
        <v>46235</v>
      </c>
      <c r="BO2" s="42">
        <v>46266</v>
      </c>
      <c r="BP2" s="42">
        <v>46296</v>
      </c>
      <c r="BQ2" s="42">
        <v>46327</v>
      </c>
      <c r="BR2" s="42">
        <v>46357</v>
      </c>
    </row>
    <row r="3" spans="1:70" ht="15" customHeight="1" x14ac:dyDescent="0.3">
      <c r="A3" t="s">
        <v>464</v>
      </c>
      <c r="B3" s="8">
        <f>'Storage onshore'!X3</f>
        <v>24813</v>
      </c>
      <c r="C3" s="8">
        <f>'Storage onshore'!Y3</f>
        <v>27228</v>
      </c>
      <c r="D3" s="8">
        <f>'Storage onshore'!Z3</f>
        <v>26900</v>
      </c>
      <c r="E3" s="8">
        <f>'Storage onshore'!AA3</f>
        <v>24434</v>
      </c>
      <c r="F3" s="8">
        <f>'Storage onshore'!AB3</f>
        <v>22566</v>
      </c>
      <c r="G3" s="8">
        <f>'Storage onshore'!AC3</f>
        <v>24148</v>
      </c>
      <c r="H3" s="8">
        <f>'Storage onshore'!AD3</f>
        <v>21800</v>
      </c>
      <c r="I3" s="8">
        <f>'Storage onshore'!AE3</f>
        <v>22903</v>
      </c>
      <c r="J3" s="8">
        <f>'Storage onshore'!AF3</f>
        <v>20935</v>
      </c>
      <c r="K3" s="8">
        <f>'Storage onshore'!AG3</f>
        <v>23782</v>
      </c>
      <c r="L3" s="8">
        <f>'Storage onshore'!AH3</f>
        <v>24128</v>
      </c>
      <c r="M3" s="8">
        <f>'Storage onshore'!AI3</f>
        <v>23355</v>
      </c>
      <c r="N3" s="8">
        <f>'Storage onshore'!AJ3</f>
        <v>23103</v>
      </c>
      <c r="O3" s="8">
        <f>'Storage onshore'!AK3</f>
        <v>21106</v>
      </c>
      <c r="P3" s="8">
        <f>'Storage onshore'!AL3</f>
        <v>21422</v>
      </c>
      <c r="Q3" s="8">
        <f>'Storage onshore'!AM3</f>
        <v>21408</v>
      </c>
      <c r="R3" s="8">
        <f>'Storage onshore'!AN3</f>
        <v>22667</v>
      </c>
      <c r="S3" s="8">
        <f>'Storage onshore'!AO3</f>
        <v>23400</v>
      </c>
      <c r="T3" s="8">
        <f>'Storage onshore'!AP3</f>
        <v>22899</v>
      </c>
      <c r="U3" s="8">
        <f>'Storage onshore'!AQ3</f>
        <v>21471</v>
      </c>
      <c r="V3" s="8">
        <f>'Storage onshore'!AR3</f>
        <v>21403</v>
      </c>
      <c r="W3" s="8">
        <f>'Storage onshore'!AS3</f>
        <v>21333</v>
      </c>
      <c r="X3" s="8">
        <f>'Storage onshore'!AT3</f>
        <v>22641</v>
      </c>
      <c r="Y3" s="8">
        <f>'Storage onshore'!AU3</f>
        <v>23048</v>
      </c>
      <c r="Z3" s="8">
        <f>'Storage onshore'!AV3</f>
        <v>23740</v>
      </c>
      <c r="AA3" s="8">
        <f>'Storage onshore'!AW3</f>
        <v>20619</v>
      </c>
      <c r="AB3" s="8">
        <f>'Storage onshore'!AX3</f>
        <v>21250</v>
      </c>
      <c r="AC3" s="8">
        <f>'Storage onshore'!AY3</f>
        <v>20923</v>
      </c>
      <c r="AD3" s="8">
        <f>'Storage onshore'!AZ3</f>
        <v>22921</v>
      </c>
      <c r="AE3" s="8">
        <f>'Storage onshore'!BA3</f>
        <v>21855</v>
      </c>
      <c r="AF3" s="8">
        <f>'Storage onshore'!BB3</f>
        <v>19535</v>
      </c>
      <c r="AG3" s="8">
        <f>'Storage onshore'!BC3</f>
        <v>20122</v>
      </c>
      <c r="AH3" s="8">
        <f>'Storage onshore'!BD3</f>
        <v>21567</v>
      </c>
      <c r="AI3" s="8">
        <f>'Storage onshore'!BE3</f>
        <v>23439</v>
      </c>
      <c r="AJ3" s="8">
        <f>'Storage onshore'!BF3</f>
        <v>23359</v>
      </c>
      <c r="AK3" s="8">
        <f>'Storage onshore'!BG3</f>
        <v>22009</v>
      </c>
      <c r="AL3" s="8">
        <f>'Storage onshore'!BH3</f>
        <v>22186</v>
      </c>
      <c r="AM3" s="8">
        <f>'Storage onshore'!BI3</f>
        <v>20753</v>
      </c>
      <c r="AN3" s="8">
        <f>'Storage onshore'!BJ3</f>
        <v>22807</v>
      </c>
      <c r="AO3" s="8">
        <f>'Storage onshore'!BK3</f>
        <v>20132</v>
      </c>
      <c r="AP3" s="8">
        <f>'Storage onshore'!BL3</f>
        <v>19727</v>
      </c>
      <c r="AQ3" s="8">
        <f>'Storage onshore'!BM3</f>
        <v>18759</v>
      </c>
      <c r="AR3" s="8">
        <f>'Storage onshore'!BN3</f>
        <v>20145</v>
      </c>
      <c r="AS3" s="8">
        <f>'Storage onshore'!BO3</f>
        <v>19232</v>
      </c>
      <c r="AT3" s="8">
        <f>'Storage onshore'!BP3</f>
        <v>28967</v>
      </c>
      <c r="AU3" s="8">
        <f>'Storage onshore'!BQ3</f>
        <v>21107</v>
      </c>
      <c r="AV3" s="8">
        <f>'Storage onshore'!BR3</f>
        <v>20080</v>
      </c>
      <c r="AW3" s="8">
        <f>'Storage onshore'!BS3</f>
        <v>21708</v>
      </c>
      <c r="AX3" s="8">
        <f>'Storage onshore'!BT3</f>
        <v>24126</v>
      </c>
      <c r="AY3" s="8">
        <f>'Storage onshore'!BU3</f>
        <v>22338</v>
      </c>
      <c r="AZ3" s="8">
        <f>'Storage onshore'!BV3</f>
        <v>23714</v>
      </c>
      <c r="BA3" s="8">
        <f>'Storage onshore'!BW3</f>
        <v>24708</v>
      </c>
      <c r="BB3" s="8">
        <f>'Storage onshore'!BX3</f>
        <v>26319</v>
      </c>
      <c r="BC3" s="8">
        <f>'Storage onshore'!BY3</f>
        <v>27399</v>
      </c>
      <c r="BD3" s="8">
        <f>'Storage onshore'!BZ3</f>
        <v>25063</v>
      </c>
      <c r="BE3" s="8">
        <f>'Storage onshore'!CA3</f>
        <v>25952</v>
      </c>
      <c r="BF3" s="8">
        <v>26752</v>
      </c>
      <c r="BG3" s="8">
        <v>19938</v>
      </c>
      <c r="BH3" s="8">
        <v>22632</v>
      </c>
      <c r="BI3" s="8">
        <v>24509</v>
      </c>
      <c r="BJ3" s="43">
        <f t="shared" ref="BJ3:BR3" si="0">ROUND(BI3*(1-$E$25)+$E$24*$E$25+(F$35-$E$24)*$E$26, 0)</f>
        <v>24361</v>
      </c>
      <c r="BK3" s="43">
        <f t="shared" si="0"/>
        <v>23430</v>
      </c>
      <c r="BL3" s="43">
        <f t="shared" si="0"/>
        <v>23496</v>
      </c>
      <c r="BM3" s="43">
        <f t="shared" si="0"/>
        <v>23132</v>
      </c>
      <c r="BN3" s="43">
        <f t="shared" si="0"/>
        <v>23124</v>
      </c>
      <c r="BO3" s="43">
        <f t="shared" si="0"/>
        <v>23145</v>
      </c>
      <c r="BP3" s="43">
        <f t="shared" si="0"/>
        <v>22925</v>
      </c>
      <c r="BQ3" s="43">
        <f t="shared" si="0"/>
        <v>22732</v>
      </c>
      <c r="BR3" s="43">
        <f t="shared" si="0"/>
        <v>25756</v>
      </c>
    </row>
    <row r="4" spans="1:70" ht="15" customHeight="1" x14ac:dyDescent="0.3">
      <c r="A4" t="s">
        <v>465</v>
      </c>
      <c r="B4" s="8">
        <f>(B3/6.35)*'Bunker Sales'!F58</f>
        <v>2798.0756331213092</v>
      </c>
      <c r="C4" s="8">
        <f>(C3/6.35)*'Bunker Sales'!F58</f>
        <v>3070.4067762312902</v>
      </c>
      <c r="D4" s="8">
        <f>(D3/6.35)*'Bunker Sales'!F58</f>
        <v>3033.4193580366427</v>
      </c>
      <c r="E4" s="8">
        <f>(E3/6.35)*'Bunker Sales'!F58</f>
        <v>2755.3371224634693</v>
      </c>
      <c r="F4" s="8">
        <f>(F3/6.35)*'Bunker Sales'!F58</f>
        <v>2544.6892651841963</v>
      </c>
      <c r="G4" s="8">
        <f>(G3/6.35)*'Bunker Sales'!F58</f>
        <v>2723.0858980620392</v>
      </c>
      <c r="H4" s="8">
        <f>(H3/6.35)*'Bunker Sales'!F58</f>
        <v>2458.3101117174278</v>
      </c>
      <c r="I4" s="8">
        <f>(I3/6.35)*'Bunker Sales'!F58</f>
        <v>2582.6915820488189</v>
      </c>
      <c r="J4" s="8">
        <f>(J3/6.35)*'Bunker Sales'!F58</f>
        <v>2360.7670728809339</v>
      </c>
      <c r="K4" s="8">
        <f>(K3/6.35)*'Bunker Sales'!F59</f>
        <v>2557.6511105791287</v>
      </c>
      <c r="L4" s="8">
        <f>(L3/6.35)*'Bunker Sales'!F59</f>
        <v>2594.8619122047439</v>
      </c>
      <c r="M4" s="8">
        <f>(M3/6.35)*'Bunker Sales'!F59</f>
        <v>2511.7291097290199</v>
      </c>
      <c r="N4" s="8">
        <f>(N3/6.35)*'Bunker Sales'!F59</f>
        <v>2484.6276010305955</v>
      </c>
      <c r="O4" s="8">
        <f>(O3/6.35)*'Bunker Sales'!F59</f>
        <v>2269.858899162522</v>
      </c>
      <c r="P4" s="8">
        <f>(P3/6.35)*'Bunker Sales'!F59</f>
        <v>2303.8433307049913</v>
      </c>
      <c r="Q4" s="8">
        <f>(Q3/6.35)*'Bunker Sales'!F59</f>
        <v>2302.3376913328566</v>
      </c>
      <c r="R4" s="8">
        <f>(R3/6.35)*'Bunker Sales'!F59</f>
        <v>2437.7376891555427</v>
      </c>
      <c r="S4" s="8">
        <f>(S3/6.35)*'Bunker Sales'!F59</f>
        <v>2516.5686648537389</v>
      </c>
      <c r="T4" s="8">
        <f>(T3/6.35)*'Bunker Sales'!F59</f>
        <v>2462.6882844652037</v>
      </c>
      <c r="U4" s="8">
        <f>(U3/6.35)*'Bunker Sales'!F59</f>
        <v>2309.1130685074627</v>
      </c>
      <c r="V4" s="8">
        <f>(V3/6.35)*'Bunker Sales'!F59</f>
        <v>2301.7999629856654</v>
      </c>
      <c r="W4" s="8">
        <f>(W3/6.35)*'Bunker Sales'!F60</f>
        <v>2187.7075990138555</v>
      </c>
      <c r="X4" s="8">
        <f>(X3/6.35)*'Bunker Sales'!F60</f>
        <v>2321.843517052112</v>
      </c>
      <c r="Y4" s="8">
        <f>(Y3/6.35)*'Bunker Sales'!F60</f>
        <v>2363.581528245973</v>
      </c>
      <c r="Z4" s="8">
        <f>(Z3/6.35)*'Bunker Sales'!F60</f>
        <v>2434.5464023151421</v>
      </c>
      <c r="AA4" s="8">
        <f>(AA3/6.35)*'Bunker Sales'!F60</f>
        <v>2114.4866162315047</v>
      </c>
      <c r="AB4" s="8">
        <f>(AB3/6.35)*'Bunker Sales'!F60</f>
        <v>2179.1959161413974</v>
      </c>
      <c r="AC4" s="8">
        <f>(AC3/6.35)*'Bunker Sales'!F60</f>
        <v>2145.6619366318332</v>
      </c>
      <c r="AD4" s="8">
        <f>(AD3/6.35)*'Bunker Sales'!F60</f>
        <v>2350.5576279471516</v>
      </c>
      <c r="AE4" s="8">
        <f>(AE3/6.35)*'Bunker Sales'!F60</f>
        <v>2241.2389057538935</v>
      </c>
      <c r="AF4" s="8">
        <f>(AF3/6.35)*'Bunker Sales'!F60</f>
        <v>2003.32198690928</v>
      </c>
      <c r="AG4" s="8">
        <f>(AG3/6.35)*'Bunker Sales'!F60</f>
        <v>2063.5190693928093</v>
      </c>
      <c r="AH4" s="8">
        <f>(AH3/6.35)*'Bunker Sales'!F60</f>
        <v>2211.7043916904245</v>
      </c>
      <c r="AI4" s="8">
        <f>(AI3/6.35)*'Bunker Sales'!F61</f>
        <v>2214.9441335994729</v>
      </c>
      <c r="AJ4" s="8">
        <f>(AJ3/6.35)*'Bunker Sales'!F61</f>
        <v>2207.3842747877511</v>
      </c>
      <c r="AK4" s="8">
        <f>(AK3/6.35)*'Bunker Sales'!F61</f>
        <v>2079.8116573399379</v>
      </c>
      <c r="AL4" s="8">
        <f>(AL3/6.35)*'Bunker Sales'!F61</f>
        <v>2096.5378449608734</v>
      </c>
      <c r="AM4" s="8">
        <f>(AM3/6.35)*'Bunker Sales'!F61</f>
        <v>1961.1218739958983</v>
      </c>
      <c r="AN4" s="8">
        <f>(AN3/6.35)*'Bunker Sales'!F61</f>
        <v>2155.2212489868671</v>
      </c>
      <c r="AO4" s="8">
        <f>(AO3/6.35)*'Bunker Sales'!F61</f>
        <v>1902.4384699699046</v>
      </c>
      <c r="AP4" s="8">
        <f>(AP3/6.35)*'Bunker Sales'!F61</f>
        <v>1864.1666847355607</v>
      </c>
      <c r="AQ4" s="8">
        <f>(AQ3/6.35)*'Bunker Sales'!F61</f>
        <v>1772.6923931137212</v>
      </c>
      <c r="AR4" s="8">
        <f>(AR3/6.35)*'Bunker Sales'!F61</f>
        <v>1903.6669470268096</v>
      </c>
      <c r="AS4" s="8">
        <f>(AS3/6.35)*'Bunker Sales'!F61</f>
        <v>1817.3900583380293</v>
      </c>
      <c r="AT4" s="8">
        <f>(AT3/6.35)*'Bunker Sales'!F61</f>
        <v>2737.3303774894807</v>
      </c>
      <c r="AU4" s="8">
        <f>(AU3/6.35)*'Bunker Sales'!F62</f>
        <v>2052.9696535723629</v>
      </c>
      <c r="AV4" s="8">
        <f>(AV3/6.35)*'Bunker Sales'!F63</f>
        <v>1863.6200819990315</v>
      </c>
      <c r="AW4" s="8">
        <f>(AW3/6.35)*'Bunker Sales'!F64</f>
        <v>2005.7831810305856</v>
      </c>
      <c r="AX4" s="8">
        <f>(AX3/6.35)*'Bunker Sales'!F65</f>
        <v>2191.1485947263673</v>
      </c>
      <c r="AY4" s="8">
        <f>(AY3/6.35)*'Bunker Sales'!F66</f>
        <v>2031.7249327019381</v>
      </c>
      <c r="AZ4" s="8">
        <f>(AZ3/6.35)*'Bunker Sales'!F67</f>
        <v>2144.2769946687854</v>
      </c>
      <c r="BA4" s="8">
        <f>(BA3/6.35)*'Bunker Sales'!F68</f>
        <v>2207.266678247398</v>
      </c>
      <c r="BB4" s="8">
        <f>(BB3/6.35)*'Bunker Sales'!F69</f>
        <v>2358.1550968669344</v>
      </c>
      <c r="BC4" s="8">
        <f>(BC3/6.35)*'Bunker Sales'!F70</f>
        <v>2420.7319975481128</v>
      </c>
      <c r="BD4" s="8">
        <f>(BD3/6.35)*'Bunker Sales'!F71</f>
        <v>2238.8033307004457</v>
      </c>
      <c r="BE4" s="8">
        <f>(BE3/6.35)*'Bunker Sales'!F72</f>
        <v>2330.619817878463</v>
      </c>
      <c r="BF4" s="8">
        <f>(BF3/6.35)*'Bunker Sales'!F73</f>
        <v>2427.0432340626026</v>
      </c>
      <c r="BG4" s="8">
        <f>(BG3/6.35)*'Bunker Sales'!F74</f>
        <v>1783.6457803127948</v>
      </c>
      <c r="BH4" s="8">
        <f>(BH3/6.35)*'Bunker Sales'!F75</f>
        <v>2002.3316128971005</v>
      </c>
      <c r="BI4" s="8">
        <f>(BI3/6.35)*'Bunker Sales'!F76</f>
        <v>2141.3230089404601</v>
      </c>
      <c r="BJ4" s="44">
        <f>(BJ3/6.35)*IFERROR(1*'Bunker Sales'!F77,0.56)</f>
        <v>2164.5564693006518</v>
      </c>
      <c r="BK4" s="44">
        <f>(BK3/6.35)*IFERROR(1*'Bunker Sales'!F78,0.56)</f>
        <v>2066.2677165354335</v>
      </c>
      <c r="BL4" s="44">
        <f>(BL3/6.35)*IFERROR(1*'Bunker Sales'!F79,0.56)</f>
        <v>2072.0881889763782</v>
      </c>
      <c r="BM4" s="44">
        <f>(BM3/6.35)*IFERROR(1*'Bunker Sales'!F80,0.56)</f>
        <v>2039.9874015748035</v>
      </c>
      <c r="BN4" s="44">
        <f>(BN3/6.35)*IFERROR(1*'Bunker Sales'!F81,0.56)</f>
        <v>2039.2818897637799</v>
      </c>
      <c r="BO4" s="44">
        <f>(BO3/6.35)*IFERROR(1*'Bunker Sales'!F82,0.56)</f>
        <v>2041.133858267717</v>
      </c>
      <c r="BP4" s="44">
        <f>(BP3/6.35)*IFERROR(1*'Bunker Sales'!F83,0.56)</f>
        <v>2021.7322834645674</v>
      </c>
      <c r="BQ4" s="44">
        <f>(BQ3/6.35)*IFERROR(1*'Bunker Sales'!F84,0.56)</f>
        <v>2004.7118110236222</v>
      </c>
      <c r="BR4" s="44">
        <f>(BR3/6.35)*IFERROR(1*'Bunker Sales'!F85,0.56)</f>
        <v>2271.3952755905516</v>
      </c>
    </row>
    <row r="5" spans="1:70" ht="15" customHeight="1" x14ac:dyDescent="0.3">
      <c r="A5" t="s">
        <v>466</v>
      </c>
      <c r="B5" s="2">
        <f>'Floating Storage'!Q3</f>
        <v>2557.1610000000001</v>
      </c>
      <c r="C5" s="2">
        <f>'Floating Storage'!R3</f>
        <v>2355.904</v>
      </c>
      <c r="D5" s="2">
        <f>'Floating Storage'!S3</f>
        <v>2999.0219999999999</v>
      </c>
      <c r="E5" s="2">
        <f>'Floating Storage'!T3</f>
        <v>3035.7440000000001</v>
      </c>
      <c r="F5" s="2">
        <f>'Floating Storage'!U3</f>
        <v>2507.0329999999999</v>
      </c>
      <c r="G5" s="2">
        <f>'Floating Storage'!V3</f>
        <v>2044.029</v>
      </c>
      <c r="H5" s="2">
        <f>'Floating Storage'!W3</f>
        <v>2070.3440000000001</v>
      </c>
      <c r="I5" s="2">
        <f>'Floating Storage'!X3</f>
        <v>1869.1389999999999</v>
      </c>
      <c r="J5" s="2">
        <f>'Floating Storage'!Y3</f>
        <v>1756.136</v>
      </c>
      <c r="K5" s="2">
        <f>'Floating Storage'!Z3</f>
        <v>1771.55</v>
      </c>
      <c r="L5" s="2">
        <f>'Floating Storage'!AA3</f>
        <v>1786.809</v>
      </c>
      <c r="M5" s="2">
        <f>'Floating Storage'!AB3</f>
        <v>1630.748</v>
      </c>
      <c r="N5" s="2">
        <f>'Floating Storage'!AC3</f>
        <v>1884.047</v>
      </c>
      <c r="O5" s="2">
        <f>'Floating Storage'!AD3</f>
        <v>2062.8910000000001</v>
      </c>
      <c r="P5" s="2">
        <f>'Floating Storage'!AE3</f>
        <v>1781.021</v>
      </c>
      <c r="Q5" s="2">
        <f>'Floating Storage'!AF3</f>
        <v>1773.7460000000001</v>
      </c>
      <c r="R5" s="2">
        <f>'Floating Storage'!AG3</f>
        <v>2026.8119999999999</v>
      </c>
      <c r="S5" s="2">
        <f>'Floating Storage'!AH3</f>
        <v>1817.4760000000001</v>
      </c>
      <c r="T5" s="2">
        <f>'Floating Storage'!AI3</f>
        <v>1904.23</v>
      </c>
      <c r="U5" s="2">
        <f>'Floating Storage'!AJ3</f>
        <v>1619.19</v>
      </c>
      <c r="V5" s="2">
        <f>'Floating Storage'!AK3</f>
        <v>1686.2529999999999</v>
      </c>
      <c r="W5" s="2">
        <f>'Floating Storage'!AL3</f>
        <v>1869.046</v>
      </c>
      <c r="X5" s="2">
        <f>'Floating Storage'!AM3</f>
        <v>1944.067</v>
      </c>
      <c r="Y5" s="2">
        <f>'Floating Storage'!AN3</f>
        <v>1649.4970000000001</v>
      </c>
      <c r="Z5" s="2">
        <f>'Floating Storage'!AO3</f>
        <v>1821.4110000000001</v>
      </c>
      <c r="AA5" s="2">
        <f>'Floating Storage'!AP3</f>
        <v>1453.4860000000001</v>
      </c>
      <c r="AB5" s="2">
        <f>'Floating Storage'!AQ3</f>
        <v>1621.171</v>
      </c>
      <c r="AC5" s="2">
        <f>'Floating Storage'!AR3</f>
        <v>1635.126</v>
      </c>
      <c r="AD5" s="2">
        <f>'Floating Storage'!AS3</f>
        <v>1702.046</v>
      </c>
      <c r="AE5" s="2">
        <f>'Floating Storage'!AT3</f>
        <v>1777.479</v>
      </c>
      <c r="AF5" s="2">
        <f>'Floating Storage'!AU3</f>
        <v>1720.454</v>
      </c>
      <c r="AG5" s="2">
        <f>'Floating Storage'!AV3</f>
        <v>1505.653</v>
      </c>
      <c r="AH5" s="2">
        <f>'Floating Storage'!AW3</f>
        <v>1959.4760000000001</v>
      </c>
      <c r="AI5" s="2">
        <f>'Floating Storage'!AX3</f>
        <v>2120.6550000000002</v>
      </c>
      <c r="AJ5" s="2">
        <f>'Floating Storage'!AY3</f>
        <v>2022.665</v>
      </c>
      <c r="AK5" s="2">
        <f>'Floating Storage'!AZ3</f>
        <v>2066.5070000000001</v>
      </c>
      <c r="AL5" s="2">
        <f>'Floating Storage'!BA3</f>
        <v>2171.9079999999999</v>
      </c>
      <c r="AM5" s="2">
        <f>'Floating Storage'!BB3</f>
        <v>2217.9810000000002</v>
      </c>
      <c r="AN5" s="2">
        <f>'Floating Storage'!BC3</f>
        <v>2199.2170000000001</v>
      </c>
      <c r="AO5" s="2">
        <f>'Floating Storage'!BD3</f>
        <v>1902.828</v>
      </c>
      <c r="AP5" s="2">
        <f>'Floating Storage'!BE3</f>
        <v>1702.809</v>
      </c>
      <c r="AQ5" s="2">
        <f>'Floating Storage'!BF3</f>
        <v>1516.847</v>
      </c>
      <c r="AR5" s="2">
        <f>'Floating Storage'!BG3</f>
        <v>1616.0650000000001</v>
      </c>
      <c r="AS5" s="2">
        <f>'Floating Storage'!BH3</f>
        <v>1544.328</v>
      </c>
      <c r="AT5" s="2">
        <f>'Floating Storage'!BI3</f>
        <v>1741.2329999999999</v>
      </c>
      <c r="AU5" s="2">
        <f>'Floating Storage'!BJ3</f>
        <v>1685.12</v>
      </c>
      <c r="AV5" s="2">
        <f>'Floating Storage'!BK3</f>
        <v>1521.047</v>
      </c>
      <c r="AW5" s="2">
        <f>'Floating Storage'!BL3</f>
        <v>1497.973</v>
      </c>
      <c r="AX5" s="2">
        <f>'Floating Storage'!BM3</f>
        <v>1510.326</v>
      </c>
      <c r="AY5" s="2">
        <f>'Floating Storage'!BN3</f>
        <v>1262.672</v>
      </c>
      <c r="AZ5" s="2">
        <f>'Floating Storage'!BO3</f>
        <v>1376.15</v>
      </c>
      <c r="BA5" s="2">
        <f>'Floating Storage'!BP3</f>
        <v>1281.2760000000001</v>
      </c>
      <c r="BB5" s="2">
        <f>'Floating Storage'!BQ3</f>
        <v>1471.7439999999999</v>
      </c>
      <c r="BC5" s="2">
        <f>'Floating Storage'!BR3</f>
        <v>1542.4079999999999</v>
      </c>
      <c r="BD5" s="2">
        <f>'Floating Storage'!BS3</f>
        <v>1537.2739999999999</v>
      </c>
      <c r="BE5" s="2">
        <f>BD5</f>
        <v>1537.2739999999999</v>
      </c>
      <c r="BF5" s="2">
        <f>BE5</f>
        <v>1537.2739999999999</v>
      </c>
      <c r="BG5" s="2">
        <f>BF5</f>
        <v>1537.2739999999999</v>
      </c>
      <c r="BH5" s="2">
        <f>BG5</f>
        <v>1537.2739999999999</v>
      </c>
      <c r="BI5" s="2">
        <f>BH5</f>
        <v>1537.2739999999999</v>
      </c>
      <c r="BJ5" s="45">
        <v>1508.5</v>
      </c>
      <c r="BK5" s="45">
        <v>1486.8</v>
      </c>
      <c r="BL5" s="45">
        <v>1465.1</v>
      </c>
      <c r="BM5" s="45">
        <v>1443.4</v>
      </c>
      <c r="BN5" s="45">
        <v>1421.7</v>
      </c>
      <c r="BO5" s="45">
        <v>1400</v>
      </c>
      <c r="BP5" s="45">
        <v>1400</v>
      </c>
      <c r="BQ5" s="45">
        <v>1400</v>
      </c>
      <c r="BR5" s="45">
        <v>1400</v>
      </c>
    </row>
    <row r="6" spans="1:70" ht="15" customHeight="1" x14ac:dyDescent="0.3">
      <c r="A6" t="s">
        <v>467</v>
      </c>
      <c r="B6" s="2">
        <f t="shared" ref="B6:AE6" si="1">B4+B5</f>
        <v>5355.2366331213088</v>
      </c>
      <c r="C6" s="2">
        <f t="shared" si="1"/>
        <v>5426.3107762312902</v>
      </c>
      <c r="D6" s="2">
        <f t="shared" si="1"/>
        <v>6032.4413580366427</v>
      </c>
      <c r="E6" s="2">
        <f t="shared" si="1"/>
        <v>5791.081122463469</v>
      </c>
      <c r="F6" s="2">
        <f t="shared" si="1"/>
        <v>5051.7222651841967</v>
      </c>
      <c r="G6" s="2">
        <f t="shared" si="1"/>
        <v>4767.1148980620392</v>
      </c>
      <c r="H6" s="2">
        <f t="shared" si="1"/>
        <v>4528.6541117174274</v>
      </c>
      <c r="I6" s="2">
        <f t="shared" si="1"/>
        <v>4451.8305820488185</v>
      </c>
      <c r="J6" s="2">
        <f t="shared" si="1"/>
        <v>4116.9030728809339</v>
      </c>
      <c r="K6" s="2">
        <f t="shared" si="1"/>
        <v>4329.2011105791289</v>
      </c>
      <c r="L6" s="2">
        <f t="shared" si="1"/>
        <v>4381.6709122047441</v>
      </c>
      <c r="M6" s="2">
        <f t="shared" si="1"/>
        <v>4142.4771097290195</v>
      </c>
      <c r="N6" s="2">
        <f t="shared" si="1"/>
        <v>4368.674601030596</v>
      </c>
      <c r="O6" s="2">
        <f t="shared" si="1"/>
        <v>4332.7498991625216</v>
      </c>
      <c r="P6" s="2">
        <f t="shared" si="1"/>
        <v>4084.8643307049915</v>
      </c>
      <c r="Q6" s="2">
        <f t="shared" si="1"/>
        <v>4076.0836913328567</v>
      </c>
      <c r="R6" s="2">
        <f t="shared" si="1"/>
        <v>4464.5496891555431</v>
      </c>
      <c r="S6" s="2">
        <f t="shared" si="1"/>
        <v>4334.0446648537391</v>
      </c>
      <c r="T6" s="2">
        <f t="shared" si="1"/>
        <v>4366.9182844652041</v>
      </c>
      <c r="U6" s="2">
        <f t="shared" si="1"/>
        <v>3928.3030685074627</v>
      </c>
      <c r="V6" s="2">
        <f t="shared" si="1"/>
        <v>3988.0529629856655</v>
      </c>
      <c r="W6" s="2">
        <f t="shared" si="1"/>
        <v>4056.7535990138558</v>
      </c>
      <c r="X6" s="2">
        <f t="shared" si="1"/>
        <v>4265.9105170521125</v>
      </c>
      <c r="Y6" s="2">
        <f t="shared" si="1"/>
        <v>4013.0785282459728</v>
      </c>
      <c r="Z6" s="2">
        <f t="shared" si="1"/>
        <v>4255.9574023151417</v>
      </c>
      <c r="AA6" s="2">
        <f t="shared" si="1"/>
        <v>3567.9726162315046</v>
      </c>
      <c r="AB6" s="2">
        <f t="shared" si="1"/>
        <v>3800.3669161413973</v>
      </c>
      <c r="AC6" s="2">
        <f t="shared" si="1"/>
        <v>3780.787936631833</v>
      </c>
      <c r="AD6" s="2">
        <f t="shared" si="1"/>
        <v>4052.6036279471518</v>
      </c>
      <c r="AE6" s="2">
        <f t="shared" si="1"/>
        <v>4018.7179057538933</v>
      </c>
      <c r="AF6" s="2">
        <f t="shared" ref="AF6:BR6" si="2">AF4+AF5</f>
        <v>3723.7759869092797</v>
      </c>
      <c r="AG6" s="2">
        <f t="shared" si="2"/>
        <v>3569.1720693928091</v>
      </c>
      <c r="AH6" s="2">
        <f t="shared" si="2"/>
        <v>4171.1803916904246</v>
      </c>
      <c r="AI6" s="2">
        <f t="shared" si="2"/>
        <v>4335.5991335994731</v>
      </c>
      <c r="AJ6" s="2">
        <f t="shared" si="2"/>
        <v>4230.0492747877506</v>
      </c>
      <c r="AK6" s="2">
        <f t="shared" si="2"/>
        <v>4146.318657339938</v>
      </c>
      <c r="AL6" s="2">
        <f t="shared" si="2"/>
        <v>4268.4458449608737</v>
      </c>
      <c r="AM6" s="2">
        <f t="shared" si="2"/>
        <v>4179.1028739958983</v>
      </c>
      <c r="AN6" s="2">
        <f t="shared" si="2"/>
        <v>4354.4382489868676</v>
      </c>
      <c r="AO6" s="2">
        <f t="shared" si="2"/>
        <v>3805.2664699699044</v>
      </c>
      <c r="AP6" s="2">
        <f t="shared" si="2"/>
        <v>3566.9756847355607</v>
      </c>
      <c r="AQ6" s="2">
        <f t="shared" si="2"/>
        <v>3289.5393931137214</v>
      </c>
      <c r="AR6" s="2">
        <f t="shared" si="2"/>
        <v>3519.7319470268094</v>
      </c>
      <c r="AS6" s="2">
        <f t="shared" si="2"/>
        <v>3361.7180583380296</v>
      </c>
      <c r="AT6" s="2">
        <f t="shared" si="2"/>
        <v>4478.5633774894804</v>
      </c>
      <c r="AU6" s="2">
        <f t="shared" si="2"/>
        <v>3738.0896535723627</v>
      </c>
      <c r="AV6" s="2">
        <f t="shared" si="2"/>
        <v>3384.6670819990313</v>
      </c>
      <c r="AW6" s="2">
        <f t="shared" si="2"/>
        <v>3503.7561810305856</v>
      </c>
      <c r="AX6" s="2">
        <f t="shared" si="2"/>
        <v>3701.4745947263673</v>
      </c>
      <c r="AY6" s="2">
        <f t="shared" si="2"/>
        <v>3294.3969327019381</v>
      </c>
      <c r="AZ6" s="2">
        <f t="shared" si="2"/>
        <v>3520.4269946687855</v>
      </c>
      <c r="BA6" s="2">
        <f t="shared" si="2"/>
        <v>3488.5426782473978</v>
      </c>
      <c r="BB6" s="2">
        <f t="shared" si="2"/>
        <v>3829.8990968669341</v>
      </c>
      <c r="BC6" s="2">
        <f t="shared" si="2"/>
        <v>3963.1399975481127</v>
      </c>
      <c r="BD6" s="2">
        <f t="shared" si="2"/>
        <v>3776.0773307004456</v>
      </c>
      <c r="BE6" s="2">
        <f t="shared" si="2"/>
        <v>3867.8938178784629</v>
      </c>
      <c r="BF6" s="2">
        <f t="shared" si="2"/>
        <v>3964.3172340626024</v>
      </c>
      <c r="BG6" s="2">
        <f t="shared" si="2"/>
        <v>3320.9197803127945</v>
      </c>
      <c r="BH6" s="2">
        <f t="shared" si="2"/>
        <v>3539.6056128971004</v>
      </c>
      <c r="BI6" s="2">
        <f t="shared" si="2"/>
        <v>3678.59700894046</v>
      </c>
      <c r="BJ6" s="2">
        <f t="shared" si="2"/>
        <v>3673.0564693006518</v>
      </c>
      <c r="BK6" s="2">
        <f t="shared" si="2"/>
        <v>3553.0677165354336</v>
      </c>
      <c r="BL6" s="2">
        <f t="shared" si="2"/>
        <v>3537.1881889763781</v>
      </c>
      <c r="BM6" s="2">
        <f t="shared" si="2"/>
        <v>3483.3874015748033</v>
      </c>
      <c r="BN6" s="2">
        <f t="shared" si="2"/>
        <v>3460.9818897637797</v>
      </c>
      <c r="BO6" s="2">
        <f t="shared" si="2"/>
        <v>3441.1338582677172</v>
      </c>
      <c r="BP6" s="2">
        <f t="shared" si="2"/>
        <v>3421.7322834645674</v>
      </c>
      <c r="BQ6" s="2">
        <f t="shared" si="2"/>
        <v>3404.7118110236224</v>
      </c>
      <c r="BR6" s="2">
        <f t="shared" si="2"/>
        <v>3671.3952755905516</v>
      </c>
    </row>
    <row r="7" spans="1:70" ht="15" customHeight="1" x14ac:dyDescent="0.3">
      <c r="A7" t="s">
        <v>468</v>
      </c>
      <c r="B7" s="2"/>
      <c r="C7" s="2">
        <f t="shared" ref="C7" si="3">C6-B6</f>
        <v>71.074143109981378</v>
      </c>
      <c r="D7" s="2">
        <f t="shared" ref="D7" si="4">D6-C6</f>
        <v>606.13058180535245</v>
      </c>
      <c r="E7" s="2">
        <f t="shared" ref="E7" si="5">E6-D6</f>
        <v>-241.36023557317367</v>
      </c>
      <c r="F7" s="2">
        <f t="shared" ref="F7" si="6">F6-E6</f>
        <v>-739.35885727927234</v>
      </c>
      <c r="G7" s="2">
        <f t="shared" ref="G7" si="7">G6-F6</f>
        <v>-284.60736712215748</v>
      </c>
      <c r="H7" s="2">
        <f t="shared" ref="H7" si="8">H6-G6</f>
        <v>-238.46078634461173</v>
      </c>
      <c r="I7" s="2">
        <f t="shared" ref="I7" si="9">I6-H6</f>
        <v>-76.823529668608899</v>
      </c>
      <c r="J7" s="2">
        <f t="shared" ref="J7" si="10">J6-I6</f>
        <v>-334.92750916788464</v>
      </c>
      <c r="K7" s="2">
        <f t="shared" ref="K7" si="11">K6-J6</f>
        <v>212.298037698195</v>
      </c>
      <c r="L7" s="2">
        <f t="shared" ref="L7" si="12">L6-K6</f>
        <v>52.469801625615219</v>
      </c>
      <c r="M7" s="2">
        <f t="shared" ref="M7" si="13">M6-L6</f>
        <v>-239.19380247572462</v>
      </c>
      <c r="N7" s="2">
        <f t="shared" ref="N7" si="14">N6-M6</f>
        <v>226.19749130157652</v>
      </c>
      <c r="O7" s="2">
        <f t="shared" ref="O7" si="15">O6-N6</f>
        <v>-35.924701868074408</v>
      </c>
      <c r="P7" s="2">
        <f t="shared" ref="P7" si="16">P6-O6</f>
        <v>-247.8855684575301</v>
      </c>
      <c r="Q7" s="2">
        <f t="shared" ref="Q7" si="17">Q6-P6</f>
        <v>-8.7806393721348286</v>
      </c>
      <c r="R7" s="2">
        <f t="shared" ref="R7" si="18">R6-Q6</f>
        <v>388.4659978226864</v>
      </c>
      <c r="S7" s="2">
        <f t="shared" ref="S7" si="19">S6-R6</f>
        <v>-130.50502430180404</v>
      </c>
      <c r="T7" s="2">
        <f t="shared" ref="T7" si="20">T6-S6</f>
        <v>32.873619611465074</v>
      </c>
      <c r="U7" s="2">
        <f t="shared" ref="U7" si="21">U6-T6</f>
        <v>-438.61521595774138</v>
      </c>
      <c r="V7" s="2">
        <f t="shared" ref="V7" si="22">V6-U6</f>
        <v>59.749894478202805</v>
      </c>
      <c r="W7" s="2">
        <f t="shared" ref="W7" si="23">W6-V6</f>
        <v>68.700636028190274</v>
      </c>
      <c r="X7" s="2">
        <f t="shared" ref="X7" si="24">X6-W6</f>
        <v>209.15691803825666</v>
      </c>
      <c r="Y7" s="2">
        <f t="shared" ref="Y7" si="25">Y6-X6</f>
        <v>-252.83198880613963</v>
      </c>
      <c r="Z7" s="2">
        <f t="shared" ref="Z7" si="26">Z6-Y6</f>
        <v>242.87887406916889</v>
      </c>
      <c r="AA7" s="2">
        <f t="shared" ref="AA7" si="27">AA6-Z6</f>
        <v>-687.98478608363712</v>
      </c>
      <c r="AB7" s="2">
        <f t="shared" ref="AB7" si="28">AB6-AA6</f>
        <v>232.39429990989265</v>
      </c>
      <c r="AC7" s="2">
        <f t="shared" ref="AC7" si="29">AC6-AB6</f>
        <v>-19.578979509564306</v>
      </c>
      <c r="AD7" s="2">
        <f t="shared" ref="AD7" si="30">AD6-AC6</f>
        <v>271.81569131531887</v>
      </c>
      <c r="AE7" s="2">
        <f t="shared" ref="AE7" si="31">AE6-AD6</f>
        <v>-33.885722193258516</v>
      </c>
      <c r="AF7" s="2">
        <f t="shared" ref="AF7:BR7" si="32">AF6-AE6</f>
        <v>-294.94191884461361</v>
      </c>
      <c r="AG7" s="2">
        <f t="shared" si="32"/>
        <v>-154.60391751647057</v>
      </c>
      <c r="AH7" s="2">
        <f t="shared" si="32"/>
        <v>602.00832229761545</v>
      </c>
      <c r="AI7" s="2">
        <f t="shared" si="32"/>
        <v>164.41874190904855</v>
      </c>
      <c r="AJ7" s="2">
        <f t="shared" si="32"/>
        <v>-105.54985881172252</v>
      </c>
      <c r="AK7" s="2">
        <f t="shared" si="32"/>
        <v>-83.73061744781262</v>
      </c>
      <c r="AL7" s="2">
        <f t="shared" si="32"/>
        <v>122.12718762093573</v>
      </c>
      <c r="AM7" s="2">
        <f t="shared" si="32"/>
        <v>-89.342970964975393</v>
      </c>
      <c r="AN7" s="2">
        <f t="shared" si="32"/>
        <v>175.33537499096929</v>
      </c>
      <c r="AO7" s="2">
        <f t="shared" si="32"/>
        <v>-549.17177901696323</v>
      </c>
      <c r="AP7" s="2">
        <f t="shared" si="32"/>
        <v>-238.29078523434373</v>
      </c>
      <c r="AQ7" s="2">
        <f t="shared" si="32"/>
        <v>-277.43629162183925</v>
      </c>
      <c r="AR7" s="2">
        <f t="shared" si="32"/>
        <v>230.19255391308798</v>
      </c>
      <c r="AS7" s="2">
        <f t="shared" si="32"/>
        <v>-158.01388868877984</v>
      </c>
      <c r="AT7" s="2">
        <f t="shared" si="32"/>
        <v>1116.8453191514509</v>
      </c>
      <c r="AU7" s="2">
        <f t="shared" si="32"/>
        <v>-740.4737239171177</v>
      </c>
      <c r="AV7" s="2">
        <f t="shared" si="32"/>
        <v>-353.42257157333142</v>
      </c>
      <c r="AW7" s="2">
        <f t="shared" si="32"/>
        <v>119.08909903155427</v>
      </c>
      <c r="AX7" s="2">
        <f t="shared" si="32"/>
        <v>197.71841369578169</v>
      </c>
      <c r="AY7" s="2">
        <f t="shared" si="32"/>
        <v>-407.07766202442917</v>
      </c>
      <c r="AZ7" s="2">
        <f t="shared" si="32"/>
        <v>226.03006196684737</v>
      </c>
      <c r="BA7" s="2">
        <f t="shared" si="32"/>
        <v>-31.884316421387666</v>
      </c>
      <c r="BB7" s="2">
        <f t="shared" si="32"/>
        <v>341.35641861953627</v>
      </c>
      <c r="BC7" s="2">
        <f t="shared" si="32"/>
        <v>133.24090068117857</v>
      </c>
      <c r="BD7" s="2">
        <f t="shared" si="32"/>
        <v>-187.06266684766706</v>
      </c>
      <c r="BE7" s="2">
        <f t="shared" si="32"/>
        <v>91.816487178017269</v>
      </c>
      <c r="BF7" s="2">
        <f t="shared" si="32"/>
        <v>96.423416184139569</v>
      </c>
      <c r="BG7" s="2">
        <f t="shared" si="32"/>
        <v>-643.39745374980794</v>
      </c>
      <c r="BH7" s="2">
        <f t="shared" si="32"/>
        <v>218.6858325843059</v>
      </c>
      <c r="BI7" s="2">
        <f t="shared" si="32"/>
        <v>138.9913960433596</v>
      </c>
      <c r="BJ7" s="2">
        <f t="shared" si="32"/>
        <v>-5.5405396398082303</v>
      </c>
      <c r="BK7" s="2">
        <f t="shared" si="32"/>
        <v>-119.98875276521812</v>
      </c>
      <c r="BL7" s="2">
        <f t="shared" si="32"/>
        <v>-15.879527559055532</v>
      </c>
      <c r="BM7" s="2">
        <f t="shared" si="32"/>
        <v>-53.80078740157478</v>
      </c>
      <c r="BN7" s="2">
        <f t="shared" si="32"/>
        <v>-22.405511811023644</v>
      </c>
      <c r="BO7" s="2">
        <f t="shared" si="32"/>
        <v>-19.848031496062504</v>
      </c>
      <c r="BP7" s="2">
        <f t="shared" si="32"/>
        <v>-19.401574803149742</v>
      </c>
      <c r="BQ7" s="2">
        <f t="shared" si="32"/>
        <v>-17.020472440945014</v>
      </c>
      <c r="BR7" s="2">
        <f t="shared" si="32"/>
        <v>266.68346456692916</v>
      </c>
    </row>
    <row r="8" spans="1:70" ht="15" customHeight="1" x14ac:dyDescent="0.3">
      <c r="A8" t="s">
        <v>469</v>
      </c>
      <c r="B8" s="68">
        <v>1965.4136024700001</v>
      </c>
      <c r="C8" s="68">
        <v>2480.4476519999994</v>
      </c>
      <c r="D8" s="68">
        <v>2021.7270959999998</v>
      </c>
      <c r="E8" s="68">
        <v>2549.1060480000001</v>
      </c>
      <c r="F8" s="68">
        <v>2645.7647369999995</v>
      </c>
      <c r="G8" s="68">
        <v>3029.9259419999994</v>
      </c>
      <c r="H8" s="68">
        <v>1863.0337260000006</v>
      </c>
      <c r="I8" s="68">
        <v>2139.3772079999994</v>
      </c>
      <c r="J8" s="68">
        <v>2560.7072969999999</v>
      </c>
      <c r="K8" s="68">
        <v>1839.9396420000003</v>
      </c>
      <c r="L8" s="68">
        <v>1501.2775199100001</v>
      </c>
      <c r="M8" s="68">
        <v>1825.0954830000003</v>
      </c>
      <c r="N8" s="68">
        <v>2138.36276679</v>
      </c>
      <c r="O8" s="68">
        <v>2010.304635</v>
      </c>
      <c r="P8" s="68">
        <v>2351.0840444700007</v>
      </c>
      <c r="Q8" s="68">
        <v>2267.26008</v>
      </c>
      <c r="R8" s="68">
        <v>2185.8773040000001</v>
      </c>
      <c r="S8" s="68">
        <v>2196.2793324899999</v>
      </c>
      <c r="T8" s="68">
        <v>2247.702765</v>
      </c>
      <c r="U8" s="68">
        <v>2250.7490082000004</v>
      </c>
      <c r="V8" s="68">
        <v>2274.9539838300002</v>
      </c>
      <c r="W8" s="68">
        <v>1375.2934049999999</v>
      </c>
      <c r="X8" s="68">
        <v>2646.2751101699987</v>
      </c>
      <c r="Y8" s="68">
        <v>1577.9184387300002</v>
      </c>
      <c r="Z8" s="68">
        <v>1360.539591</v>
      </c>
      <c r="AA8" s="68">
        <v>2685.60540795</v>
      </c>
      <c r="AB8" s="68">
        <v>2588.5270711799994</v>
      </c>
      <c r="AC8" s="68">
        <v>1703.9133569999999</v>
      </c>
      <c r="AD8" s="68">
        <v>1929.700728</v>
      </c>
      <c r="AE8" s="2">
        <v>2049.5175955469999</v>
      </c>
      <c r="AF8" s="2">
        <v>1936.640175</v>
      </c>
      <c r="AG8" s="2">
        <v>2197.855149</v>
      </c>
      <c r="AH8" s="2">
        <v>1954.6796939999999</v>
      </c>
      <c r="AI8" s="2">
        <v>2485.3538610000001</v>
      </c>
      <c r="AJ8" s="2">
        <v>1590.3912982500001</v>
      </c>
      <c r="AK8" s="2">
        <v>2089.3441469999998</v>
      </c>
      <c r="AL8" s="2">
        <v>1701.8330444999999</v>
      </c>
      <c r="AM8" s="2">
        <v>2017.4523509999999</v>
      </c>
      <c r="AN8" s="2">
        <v>1376.9372465399999</v>
      </c>
      <c r="AO8" s="2">
        <v>1565.761587</v>
      </c>
      <c r="AP8" s="2">
        <v>1341.0047196</v>
      </c>
      <c r="AQ8" s="2">
        <v>1444.9437225300001</v>
      </c>
      <c r="AR8" s="2">
        <v>2099.5375356</v>
      </c>
      <c r="AS8" s="2">
        <v>2331.0103650000001</v>
      </c>
      <c r="AT8" s="2">
        <v>1864.314723</v>
      </c>
      <c r="AU8" s="2">
        <v>1392.101379</v>
      </c>
      <c r="AV8" s="2">
        <v>1268.5921559999999</v>
      </c>
      <c r="AW8" s="2">
        <v>1913.160936</v>
      </c>
      <c r="AX8" s="2">
        <v>1323.08826</v>
      </c>
      <c r="AY8" s="2">
        <v>1848.2865690000001</v>
      </c>
      <c r="AZ8" s="2">
        <v>1471.854141</v>
      </c>
      <c r="BA8" s="2">
        <v>1922.6909069999999</v>
      </c>
      <c r="BB8" s="2">
        <v>1808.5480829999999</v>
      </c>
      <c r="BC8" s="2">
        <v>1623.227664</v>
      </c>
      <c r="BD8" s="2">
        <v>1556</v>
      </c>
      <c r="BE8" s="2">
        <v>1411</v>
      </c>
      <c r="BF8" s="2">
        <v>1628</v>
      </c>
      <c r="BG8" s="2">
        <v>1778</v>
      </c>
      <c r="BH8" s="2">
        <v>2361</v>
      </c>
      <c r="BI8" s="2">
        <v>831</v>
      </c>
      <c r="BJ8" s="46">
        <f t="shared" ref="BJ8:BR8" si="33">ROUND($B$24*F$31,0)</f>
        <v>1683</v>
      </c>
      <c r="BK8" s="46">
        <f t="shared" si="33"/>
        <v>1719</v>
      </c>
      <c r="BL8" s="46">
        <f t="shared" si="33"/>
        <v>1947</v>
      </c>
      <c r="BM8" s="46">
        <f t="shared" si="33"/>
        <v>1634</v>
      </c>
      <c r="BN8" s="46">
        <f t="shared" si="33"/>
        <v>1668</v>
      </c>
      <c r="BO8" s="46">
        <f t="shared" si="33"/>
        <v>1731</v>
      </c>
      <c r="BP8" s="46">
        <f t="shared" si="33"/>
        <v>1834</v>
      </c>
      <c r="BQ8" s="46">
        <f t="shared" si="33"/>
        <v>1664</v>
      </c>
      <c r="BR8" s="46">
        <f t="shared" si="33"/>
        <v>1768</v>
      </c>
    </row>
    <row r="9" spans="1:70" ht="15" customHeight="1" x14ac:dyDescent="0.3">
      <c r="A9" t="s">
        <v>470</v>
      </c>
      <c r="B9" s="68">
        <v>1062.317403</v>
      </c>
      <c r="C9" s="68">
        <v>1554.7927529999999</v>
      </c>
      <c r="D9" s="68">
        <v>1207.7443230000001</v>
      </c>
      <c r="E9" s="68">
        <v>1561.4468999999999</v>
      </c>
      <c r="F9" s="68">
        <v>1191.1179900000002</v>
      </c>
      <c r="G9" s="68">
        <v>960.99881400000004</v>
      </c>
      <c r="H9" s="68">
        <v>891.78408300000001</v>
      </c>
      <c r="I9" s="68">
        <v>1088.8398419999999</v>
      </c>
      <c r="J9" s="68">
        <v>746.46272399999998</v>
      </c>
      <c r="K9" s="68">
        <v>655.19240100000002</v>
      </c>
      <c r="L9" s="68">
        <v>852.34611300000006</v>
      </c>
      <c r="M9" s="68">
        <v>942.08437500000002</v>
      </c>
      <c r="N9" s="68">
        <v>528.36704099999997</v>
      </c>
      <c r="O9" s="68">
        <v>711.21581099999992</v>
      </c>
      <c r="P9" s="68">
        <v>519.48850500000003</v>
      </c>
      <c r="Q9" s="68">
        <v>569.64614700000016</v>
      </c>
      <c r="R9" s="68">
        <v>717.61794300000008</v>
      </c>
      <c r="S9" s="68">
        <v>542.69861099999991</v>
      </c>
      <c r="T9" s="68">
        <v>595.71686100000011</v>
      </c>
      <c r="U9" s="68">
        <v>666.17169600000022</v>
      </c>
      <c r="V9" s="68">
        <v>615.91134599999987</v>
      </c>
      <c r="W9" s="68">
        <v>765.09186299999999</v>
      </c>
      <c r="X9" s="68">
        <v>528.32275292999987</v>
      </c>
      <c r="Y9" s="68">
        <v>436.29978</v>
      </c>
      <c r="Z9" s="68">
        <v>449.53579799999994</v>
      </c>
      <c r="AA9" s="68">
        <v>572.05217700000003</v>
      </c>
      <c r="AB9" s="68">
        <v>709.76934000000017</v>
      </c>
      <c r="AC9" s="68">
        <v>512.06785200000002</v>
      </c>
      <c r="AD9" s="68">
        <v>807.2810760000001</v>
      </c>
      <c r="AE9" s="2">
        <v>776.65412100000003</v>
      </c>
      <c r="AF9" s="2">
        <v>826.11468000000002</v>
      </c>
      <c r="AG9" s="2">
        <v>504.09086400000001</v>
      </c>
      <c r="AH9" s="2">
        <v>675.70166700000004</v>
      </c>
      <c r="AI9" s="2">
        <v>850.46598600000004</v>
      </c>
      <c r="AJ9" s="2">
        <v>461.25926000999999</v>
      </c>
      <c r="AK9" s="2">
        <v>761.04440699999998</v>
      </c>
      <c r="AL9" s="2">
        <v>728.86161600000003</v>
      </c>
      <c r="AM9" s="2">
        <v>788.87542199999996</v>
      </c>
      <c r="AN9" s="2">
        <v>665.88637698000002</v>
      </c>
      <c r="AO9" s="2">
        <v>367.25147399999997</v>
      </c>
      <c r="AP9" s="2">
        <v>721.07197499999995</v>
      </c>
      <c r="AQ9" s="2">
        <v>734.92994699999997</v>
      </c>
      <c r="AR9" s="2">
        <v>730.83272517</v>
      </c>
      <c r="AS9" s="2">
        <v>806.11800300000004</v>
      </c>
      <c r="AT9" s="2">
        <v>1070.874501</v>
      </c>
      <c r="AU9" s="2">
        <v>682.81609800000001</v>
      </c>
      <c r="AV9" s="2">
        <v>327.930477</v>
      </c>
      <c r="AW9" s="2">
        <v>497</v>
      </c>
      <c r="AX9" s="2">
        <v>582</v>
      </c>
      <c r="AY9" s="2">
        <v>314</v>
      </c>
      <c r="AZ9" s="2">
        <v>442.25113800000003</v>
      </c>
      <c r="BA9" s="2">
        <v>731</v>
      </c>
      <c r="BB9" s="2">
        <v>750.94098299999996</v>
      </c>
      <c r="BC9" s="2">
        <v>702</v>
      </c>
      <c r="BD9" s="2">
        <v>845</v>
      </c>
      <c r="BE9" s="2">
        <v>687</v>
      </c>
      <c r="BF9" s="2">
        <v>492</v>
      </c>
      <c r="BG9" s="2">
        <v>944</v>
      </c>
      <c r="BH9" s="2">
        <v>583</v>
      </c>
      <c r="BI9" s="2">
        <v>516</v>
      </c>
      <c r="BJ9" s="46">
        <f t="shared" ref="BJ9:BR9" si="34">ROUND($B$25*F$32,0)</f>
        <v>523</v>
      </c>
      <c r="BK9" s="46">
        <f t="shared" si="34"/>
        <v>558</v>
      </c>
      <c r="BL9" s="46">
        <f t="shared" si="34"/>
        <v>519</v>
      </c>
      <c r="BM9" s="46">
        <f t="shared" si="34"/>
        <v>510</v>
      </c>
      <c r="BN9" s="46">
        <f t="shared" si="34"/>
        <v>683</v>
      </c>
      <c r="BO9" s="46">
        <f t="shared" si="34"/>
        <v>626</v>
      </c>
      <c r="BP9" s="46">
        <f t="shared" si="34"/>
        <v>720</v>
      </c>
      <c r="BQ9" s="46">
        <f t="shared" si="34"/>
        <v>670</v>
      </c>
      <c r="BR9" s="46">
        <f t="shared" si="34"/>
        <v>683</v>
      </c>
    </row>
    <row r="10" spans="1:70" ht="15" customHeight="1" x14ac:dyDescent="0.3">
      <c r="A10" t="s">
        <v>471</v>
      </c>
      <c r="B10" s="2">
        <f t="shared" ref="B10:AD10" si="35">B8-B9</f>
        <v>903.0961994700001</v>
      </c>
      <c r="C10" s="2">
        <f t="shared" si="35"/>
        <v>925.65489899999943</v>
      </c>
      <c r="D10" s="2">
        <f t="shared" si="35"/>
        <v>813.98277299999972</v>
      </c>
      <c r="E10" s="2">
        <f t="shared" si="35"/>
        <v>987.65914800000019</v>
      </c>
      <c r="F10" s="2">
        <f t="shared" si="35"/>
        <v>1454.6467469999993</v>
      </c>
      <c r="G10" s="2">
        <f t="shared" si="35"/>
        <v>2068.9271279999994</v>
      </c>
      <c r="H10" s="2">
        <f t="shared" si="35"/>
        <v>971.24964300000056</v>
      </c>
      <c r="I10" s="2">
        <f t="shared" si="35"/>
        <v>1050.5373659999996</v>
      </c>
      <c r="J10" s="2">
        <f t="shared" si="35"/>
        <v>1814.2445729999999</v>
      </c>
      <c r="K10" s="2">
        <f t="shared" si="35"/>
        <v>1184.7472410000003</v>
      </c>
      <c r="L10" s="2">
        <f t="shared" si="35"/>
        <v>648.93140691000008</v>
      </c>
      <c r="M10" s="2">
        <f t="shared" si="35"/>
        <v>883.01110800000026</v>
      </c>
      <c r="N10" s="2">
        <f t="shared" si="35"/>
        <v>1609.9957257900001</v>
      </c>
      <c r="O10" s="2">
        <f t="shared" si="35"/>
        <v>1299.0888239999999</v>
      </c>
      <c r="P10" s="2">
        <f t="shared" si="35"/>
        <v>1831.5955394700006</v>
      </c>
      <c r="Q10" s="2">
        <f t="shared" si="35"/>
        <v>1697.6139329999999</v>
      </c>
      <c r="R10" s="2">
        <f t="shared" si="35"/>
        <v>1468.2593609999999</v>
      </c>
      <c r="S10" s="2">
        <f t="shared" si="35"/>
        <v>1653.5807214900001</v>
      </c>
      <c r="T10" s="2">
        <f t="shared" si="35"/>
        <v>1651.9859039999999</v>
      </c>
      <c r="U10" s="2">
        <f t="shared" si="35"/>
        <v>1584.5773122000001</v>
      </c>
      <c r="V10" s="2">
        <f t="shared" si="35"/>
        <v>1659.0426378300003</v>
      </c>
      <c r="W10" s="2">
        <f t="shared" si="35"/>
        <v>610.2015419999999</v>
      </c>
      <c r="X10" s="2">
        <f t="shared" si="35"/>
        <v>2117.9523572399989</v>
      </c>
      <c r="Y10" s="2">
        <f t="shared" si="35"/>
        <v>1141.6186587300001</v>
      </c>
      <c r="Z10" s="2">
        <f t="shared" si="35"/>
        <v>911.00379300000009</v>
      </c>
      <c r="AA10" s="2">
        <f t="shared" si="35"/>
        <v>2113.5532309499999</v>
      </c>
      <c r="AB10" s="2">
        <f t="shared" si="35"/>
        <v>1878.7577311799992</v>
      </c>
      <c r="AC10" s="2">
        <f t="shared" si="35"/>
        <v>1191.8455049999998</v>
      </c>
      <c r="AD10" s="2">
        <f t="shared" si="35"/>
        <v>1122.419652</v>
      </c>
      <c r="AE10" s="2">
        <f t="shared" ref="AE10:BR10" si="36">AE8-AE9</f>
        <v>1272.8634745469999</v>
      </c>
      <c r="AF10" s="2">
        <f t="shared" si="36"/>
        <v>1110.5254949999999</v>
      </c>
      <c r="AG10" s="2">
        <f t="shared" si="36"/>
        <v>1693.764285</v>
      </c>
      <c r="AH10" s="2">
        <f t="shared" si="36"/>
        <v>1278.9780269999999</v>
      </c>
      <c r="AI10" s="2">
        <f t="shared" si="36"/>
        <v>1634.8878749999999</v>
      </c>
      <c r="AJ10" s="2">
        <f t="shared" si="36"/>
        <v>1129.1320382400002</v>
      </c>
      <c r="AK10" s="2">
        <f t="shared" si="36"/>
        <v>1328.2997399999999</v>
      </c>
      <c r="AL10" s="2">
        <f t="shared" si="36"/>
        <v>972.97142849999989</v>
      </c>
      <c r="AM10" s="2">
        <f t="shared" si="36"/>
        <v>1228.5769289999998</v>
      </c>
      <c r="AN10" s="2">
        <f t="shared" si="36"/>
        <v>711.05086955999991</v>
      </c>
      <c r="AO10" s="2">
        <f t="shared" si="36"/>
        <v>1198.510113</v>
      </c>
      <c r="AP10" s="2">
        <f t="shared" si="36"/>
        <v>619.93274460000009</v>
      </c>
      <c r="AQ10" s="2">
        <f t="shared" si="36"/>
        <v>710.01377553000009</v>
      </c>
      <c r="AR10" s="2">
        <f t="shared" si="36"/>
        <v>1368.70481043</v>
      </c>
      <c r="AS10" s="2">
        <f t="shared" si="36"/>
        <v>1524.892362</v>
      </c>
      <c r="AT10" s="2">
        <f t="shared" si="36"/>
        <v>793.44022199999995</v>
      </c>
      <c r="AU10" s="2">
        <f t="shared" si="36"/>
        <v>709.28528099999994</v>
      </c>
      <c r="AV10" s="2">
        <f t="shared" si="36"/>
        <v>940.66167899999994</v>
      </c>
      <c r="AW10" s="2">
        <f t="shared" si="36"/>
        <v>1416.160936</v>
      </c>
      <c r="AX10" s="2">
        <f t="shared" si="36"/>
        <v>741.08825999999999</v>
      </c>
      <c r="AY10" s="2">
        <f t="shared" si="36"/>
        <v>1534.2865690000001</v>
      </c>
      <c r="AZ10" s="2">
        <f t="shared" si="36"/>
        <v>1029.6030029999999</v>
      </c>
      <c r="BA10" s="2">
        <f t="shared" si="36"/>
        <v>1191.6909069999999</v>
      </c>
      <c r="BB10" s="2">
        <f t="shared" si="36"/>
        <v>1057.6070999999999</v>
      </c>
      <c r="BC10" s="2">
        <f t="shared" si="36"/>
        <v>921.227664</v>
      </c>
      <c r="BD10" s="2">
        <f t="shared" si="36"/>
        <v>711</v>
      </c>
      <c r="BE10" s="2">
        <f t="shared" si="36"/>
        <v>724</v>
      </c>
      <c r="BF10" s="2">
        <f t="shared" si="36"/>
        <v>1136</v>
      </c>
      <c r="BG10" s="2">
        <f t="shared" si="36"/>
        <v>834</v>
      </c>
      <c r="BH10" s="2">
        <f t="shared" si="36"/>
        <v>1778</v>
      </c>
      <c r="BI10" s="2">
        <f t="shared" si="36"/>
        <v>315</v>
      </c>
      <c r="BJ10" s="2">
        <f t="shared" si="36"/>
        <v>1160</v>
      </c>
      <c r="BK10" s="2">
        <f t="shared" si="36"/>
        <v>1161</v>
      </c>
      <c r="BL10" s="2">
        <f t="shared" si="36"/>
        <v>1428</v>
      </c>
      <c r="BM10" s="2">
        <f t="shared" si="36"/>
        <v>1124</v>
      </c>
      <c r="BN10" s="2">
        <f t="shared" si="36"/>
        <v>985</v>
      </c>
      <c r="BO10" s="2">
        <f t="shared" si="36"/>
        <v>1105</v>
      </c>
      <c r="BP10" s="2">
        <f t="shared" si="36"/>
        <v>1114</v>
      </c>
      <c r="BQ10" s="2">
        <f t="shared" si="36"/>
        <v>994</v>
      </c>
      <c r="BR10" s="2">
        <f t="shared" si="36"/>
        <v>1085</v>
      </c>
    </row>
    <row r="11" spans="1:70" ht="15" customHeight="1" x14ac:dyDescent="0.3">
      <c r="A11" t="s">
        <v>472</v>
      </c>
      <c r="B11" s="68">
        <v>2739.2975000000001</v>
      </c>
      <c r="C11" s="68">
        <v>2739.2975000000001</v>
      </c>
      <c r="D11" s="68">
        <v>2739.2975000000001</v>
      </c>
      <c r="E11" s="68">
        <v>2739.2975000000001</v>
      </c>
      <c r="F11" s="68">
        <v>2739.2975000000001</v>
      </c>
      <c r="G11" s="68">
        <v>2739.2975000000001</v>
      </c>
      <c r="H11" s="68">
        <v>2739.2975000000001</v>
      </c>
      <c r="I11" s="68">
        <v>2739.2975000000001</v>
      </c>
      <c r="J11" s="68">
        <v>2739.2975000000001</v>
      </c>
      <c r="K11" s="68">
        <v>2499.5825</v>
      </c>
      <c r="L11" s="68">
        <v>2499.5825</v>
      </c>
      <c r="M11" s="68">
        <v>2499.5825</v>
      </c>
      <c r="N11" s="68">
        <v>2499.5825</v>
      </c>
      <c r="O11" s="68">
        <v>2499.5825</v>
      </c>
      <c r="P11" s="68">
        <v>2499.5825</v>
      </c>
      <c r="Q11" s="68">
        <v>2499.5825</v>
      </c>
      <c r="R11" s="68">
        <v>2499.5825</v>
      </c>
      <c r="S11" s="68">
        <v>2499.5825</v>
      </c>
      <c r="T11" s="68">
        <v>2499.5825</v>
      </c>
      <c r="U11" s="68">
        <v>2499.5825</v>
      </c>
      <c r="V11" s="68">
        <v>2499.5825</v>
      </c>
      <c r="W11" s="68">
        <v>2558.4466666666667</v>
      </c>
      <c r="X11" s="68">
        <v>2558.4466666666667</v>
      </c>
      <c r="Y11" s="68">
        <v>2558.4466666666667</v>
      </c>
      <c r="Z11" s="68">
        <v>2558.4466666666667</v>
      </c>
      <c r="AA11" s="68">
        <v>2558.4466666666667</v>
      </c>
      <c r="AB11" s="68">
        <v>2558.4466666666667</v>
      </c>
      <c r="AC11" s="68">
        <v>2558.4466666666667</v>
      </c>
      <c r="AD11" s="68">
        <v>2558.4466666666667</v>
      </c>
      <c r="AE11" s="68">
        <v>2558.4466666666667</v>
      </c>
      <c r="AF11" s="68">
        <v>2558.4466666666667</v>
      </c>
      <c r="AG11" s="68">
        <v>2558.4466666666667</v>
      </c>
      <c r="AH11" s="68">
        <v>2558.4466666666667</v>
      </c>
      <c r="AI11" s="2">
        <v>2861.13</v>
      </c>
      <c r="AJ11" s="2">
        <v>2554.63</v>
      </c>
      <c r="AK11" s="2">
        <v>2419.86</v>
      </c>
      <c r="AL11" s="2">
        <v>2252.4299999999998</v>
      </c>
      <c r="AM11" s="2">
        <v>2639.46</v>
      </c>
      <c r="AN11" s="2">
        <v>2331.06</v>
      </c>
      <c r="AO11" s="2">
        <v>2485.6799999999998</v>
      </c>
      <c r="AP11" s="2">
        <v>2444.39</v>
      </c>
      <c r="AQ11" s="2">
        <v>2248.0300000000002</v>
      </c>
      <c r="AR11" s="2">
        <v>2514.21</v>
      </c>
      <c r="AS11" s="2">
        <v>2398.35</v>
      </c>
      <c r="AT11" s="2">
        <v>2429.62</v>
      </c>
      <c r="AU11" s="2">
        <v>2431.31</v>
      </c>
      <c r="AV11" s="2">
        <v>2065.1</v>
      </c>
      <c r="AW11" s="2">
        <v>2331.88</v>
      </c>
      <c r="AX11" s="2">
        <v>2236.4899999999998</v>
      </c>
      <c r="AY11" s="2">
        <v>2453.9699999999998</v>
      </c>
      <c r="AZ11" s="2">
        <v>2311.0100000000002</v>
      </c>
      <c r="BA11" s="2">
        <v>2372.12</v>
      </c>
      <c r="BB11" s="2">
        <v>2500.9699999999998</v>
      </c>
      <c r="BC11" s="2">
        <v>2350</v>
      </c>
      <c r="BD11" s="2">
        <v>2433</v>
      </c>
      <c r="BE11" s="2">
        <v>2512</v>
      </c>
      <c r="BF11" s="2">
        <v>2830</v>
      </c>
      <c r="BG11" s="2">
        <v>2561</v>
      </c>
      <c r="BH11" s="2">
        <v>2310</v>
      </c>
      <c r="BI11" s="2">
        <f>BH11</f>
        <v>2310</v>
      </c>
      <c r="BJ11" s="46">
        <f t="shared" ref="BJ11:BR11" si="37">ROUND($B$27*F$34,0)</f>
        <v>2328</v>
      </c>
      <c r="BK11" s="46">
        <f t="shared" si="37"/>
        <v>2568</v>
      </c>
      <c r="BL11" s="46">
        <f t="shared" si="37"/>
        <v>2443</v>
      </c>
      <c r="BM11" s="46">
        <f t="shared" si="37"/>
        <v>2470</v>
      </c>
      <c r="BN11" s="46">
        <f t="shared" si="37"/>
        <v>2613</v>
      </c>
      <c r="BO11" s="46">
        <f t="shared" si="37"/>
        <v>2438</v>
      </c>
      <c r="BP11" s="46">
        <f t="shared" si="37"/>
        <v>2500</v>
      </c>
      <c r="BQ11" s="46">
        <f t="shared" si="37"/>
        <v>2575</v>
      </c>
      <c r="BR11" s="46">
        <f t="shared" si="37"/>
        <v>2920</v>
      </c>
    </row>
    <row r="12" spans="1:70" ht="15" customHeight="1" x14ac:dyDescent="0.3">
      <c r="A12" t="s">
        <v>473</v>
      </c>
      <c r="B12" s="68">
        <v>635.50281300000006</v>
      </c>
      <c r="C12" s="68">
        <v>630.24865519600007</v>
      </c>
      <c r="D12" s="68">
        <v>842.66520823200005</v>
      </c>
      <c r="E12" s="68">
        <v>726.71018703200002</v>
      </c>
      <c r="F12" s="68">
        <v>476.14749999499998</v>
      </c>
      <c r="G12" s="68">
        <v>932.78356820199997</v>
      </c>
      <c r="H12" s="68">
        <v>651.78094760900001</v>
      </c>
      <c r="I12" s="68">
        <v>712.4373902399999</v>
      </c>
      <c r="J12" s="68">
        <v>575.395340541</v>
      </c>
      <c r="K12" s="68">
        <v>556.29195043100003</v>
      </c>
      <c r="L12" s="68">
        <v>804.84034106500008</v>
      </c>
      <c r="M12" s="68">
        <v>516.70101110000007</v>
      </c>
      <c r="N12" s="68">
        <v>779.44515436199993</v>
      </c>
      <c r="O12" s="68">
        <v>275.54228406800001</v>
      </c>
      <c r="P12" s="68">
        <v>593.34295973300004</v>
      </c>
      <c r="Q12" s="68">
        <v>317.49675763200003</v>
      </c>
      <c r="R12" s="68">
        <v>421.04947940799997</v>
      </c>
      <c r="S12" s="68">
        <v>923.72062401700009</v>
      </c>
      <c r="T12" s="68">
        <v>479.80856600000004</v>
      </c>
      <c r="U12" s="68">
        <v>667.81937799999992</v>
      </c>
      <c r="V12" s="68">
        <v>789.77416211399998</v>
      </c>
      <c r="W12" s="68">
        <v>399.91949644600004</v>
      </c>
      <c r="X12" s="68">
        <v>581.71089600200003</v>
      </c>
      <c r="Y12" s="68">
        <v>342.58132727100002</v>
      </c>
      <c r="Z12" s="68">
        <v>618.40010468200012</v>
      </c>
      <c r="AA12" s="68">
        <v>534.47933557500005</v>
      </c>
      <c r="AB12" s="68">
        <v>674.77396191700007</v>
      </c>
      <c r="AC12" s="68">
        <v>423.68972799999995</v>
      </c>
      <c r="AD12" s="68">
        <v>704.16828319299998</v>
      </c>
      <c r="AE12" s="68">
        <v>566.50149964600007</v>
      </c>
      <c r="AF12" s="68">
        <v>521.936421</v>
      </c>
      <c r="AG12" s="68">
        <v>232.15151818999999</v>
      </c>
      <c r="AH12" s="68">
        <v>742.48278352099999</v>
      </c>
      <c r="AI12" s="2">
        <v>566.50149964599996</v>
      </c>
      <c r="AJ12" s="2">
        <v>521.936421</v>
      </c>
      <c r="AK12" s="2">
        <v>232.15151818999999</v>
      </c>
      <c r="AL12" s="2">
        <v>742.48278352099999</v>
      </c>
      <c r="AM12" s="2">
        <v>862.22247724700003</v>
      </c>
      <c r="AN12" s="2">
        <v>454.61259269800001</v>
      </c>
      <c r="AO12" s="2">
        <v>850.74768191199996</v>
      </c>
      <c r="AP12" s="2">
        <v>507.17462229900002</v>
      </c>
      <c r="AQ12" s="2">
        <v>853.73257599199997</v>
      </c>
      <c r="AR12" s="2">
        <v>679.40435200000002</v>
      </c>
      <c r="AS12" s="2">
        <v>681.26643758399996</v>
      </c>
      <c r="AT12" s="2">
        <v>541.48273272799997</v>
      </c>
      <c r="AU12" s="2">
        <v>937.90260437999996</v>
      </c>
      <c r="AV12" s="2">
        <v>702.06049561899999</v>
      </c>
      <c r="AW12" s="2">
        <v>1096.5649758699999</v>
      </c>
      <c r="AX12" s="2">
        <v>699.64734049200001</v>
      </c>
      <c r="AY12" s="2">
        <v>732.70094618999997</v>
      </c>
      <c r="AZ12" s="2">
        <v>499.91529824899999</v>
      </c>
      <c r="BA12" s="2">
        <v>638.70908324699997</v>
      </c>
      <c r="BB12" s="2">
        <v>925</v>
      </c>
      <c r="BC12" s="2">
        <v>1064</v>
      </c>
      <c r="BD12" s="2">
        <v>1021</v>
      </c>
      <c r="BE12" s="2">
        <f>'Crude Imports'!B26</f>
        <v>618.40010468200012</v>
      </c>
      <c r="BF12" s="2">
        <f>'Crude Imports'!B27</f>
        <v>534.47933557500005</v>
      </c>
      <c r="BG12" s="2">
        <f>'Crude Imports'!B28</f>
        <v>674.77396191700007</v>
      </c>
      <c r="BH12" s="2">
        <f>BG12</f>
        <v>674.77396191700007</v>
      </c>
      <c r="BI12" s="2">
        <f>BH12</f>
        <v>674.77396191700007</v>
      </c>
      <c r="BJ12" s="46">
        <f t="shared" ref="BJ12:BR12" si="38">ROUND($B$26*F$33,0)</f>
        <v>740</v>
      </c>
      <c r="BK12" s="46">
        <f t="shared" si="38"/>
        <v>620</v>
      </c>
      <c r="BL12" s="46">
        <f t="shared" si="38"/>
        <v>651</v>
      </c>
      <c r="BM12" s="46">
        <f t="shared" si="38"/>
        <v>647</v>
      </c>
      <c r="BN12" s="46">
        <f t="shared" si="38"/>
        <v>665</v>
      </c>
      <c r="BO12" s="46">
        <f t="shared" si="38"/>
        <v>896</v>
      </c>
      <c r="BP12" s="46">
        <f t="shared" si="38"/>
        <v>705</v>
      </c>
      <c r="BQ12" s="46">
        <f t="shared" si="38"/>
        <v>812</v>
      </c>
      <c r="BR12" s="46">
        <f t="shared" si="38"/>
        <v>830</v>
      </c>
    </row>
    <row r="13" spans="1:70" ht="15" customHeight="1" x14ac:dyDescent="0.3">
      <c r="A13" t="s">
        <v>23</v>
      </c>
      <c r="B13" s="68">
        <v>221.65</v>
      </c>
      <c r="C13" s="68">
        <v>226.20000000000002</v>
      </c>
      <c r="D13" s="68">
        <v>195</v>
      </c>
      <c r="E13" s="68">
        <v>182.65</v>
      </c>
      <c r="F13" s="68">
        <v>185.25</v>
      </c>
      <c r="G13" s="68">
        <v>202.15</v>
      </c>
      <c r="H13" s="68">
        <v>187.85</v>
      </c>
      <c r="I13" s="68">
        <v>137.80000000000001</v>
      </c>
      <c r="J13" s="68">
        <v>182.65</v>
      </c>
      <c r="K13" s="68">
        <v>279.5</v>
      </c>
      <c r="L13" s="68">
        <v>230.75</v>
      </c>
      <c r="M13" s="68">
        <v>290.55</v>
      </c>
      <c r="N13" s="68">
        <v>276.25</v>
      </c>
      <c r="O13" s="68">
        <v>298.35000000000002</v>
      </c>
      <c r="P13" s="68">
        <v>354.25</v>
      </c>
      <c r="Q13" s="68">
        <v>311.35000000000002</v>
      </c>
      <c r="R13" s="68">
        <v>317.2</v>
      </c>
      <c r="S13" s="68">
        <v>235.95000000000002</v>
      </c>
      <c r="T13" s="68">
        <v>338.65000000000003</v>
      </c>
      <c r="U13" s="68">
        <v>258.05</v>
      </c>
      <c r="V13" s="68">
        <v>242.45000000000002</v>
      </c>
      <c r="W13" s="68">
        <v>299</v>
      </c>
      <c r="X13" s="68">
        <v>285.35000000000002</v>
      </c>
      <c r="Y13" s="68">
        <v>269.10000000000002</v>
      </c>
      <c r="Z13" s="68">
        <v>285.35000000000002</v>
      </c>
      <c r="AA13" s="68">
        <v>258.05</v>
      </c>
      <c r="AB13" s="68">
        <v>269.10000000000002</v>
      </c>
      <c r="AC13" s="68">
        <v>258.7</v>
      </c>
      <c r="AD13" s="68">
        <v>304.2</v>
      </c>
      <c r="AE13" s="68">
        <v>295.10000000000002</v>
      </c>
      <c r="AF13" s="68">
        <v>273</v>
      </c>
      <c r="AG13" s="68">
        <v>408.2</v>
      </c>
      <c r="AH13" s="68">
        <v>373.75</v>
      </c>
      <c r="AI13" s="68">
        <v>363.35</v>
      </c>
      <c r="AJ13" s="68">
        <v>247.65</v>
      </c>
      <c r="AK13" s="68">
        <v>360.1</v>
      </c>
      <c r="AL13" s="68">
        <v>336.7</v>
      </c>
      <c r="AM13" s="68">
        <v>274.3</v>
      </c>
      <c r="AN13" s="68">
        <v>286</v>
      </c>
      <c r="AO13" s="68">
        <v>264.55</v>
      </c>
      <c r="AP13" s="68">
        <v>286</v>
      </c>
      <c r="AQ13" s="2">
        <v>332.15</v>
      </c>
      <c r="AR13" s="2">
        <v>330.2</v>
      </c>
      <c r="AS13" s="2">
        <v>280.8</v>
      </c>
      <c r="AT13" s="2">
        <v>274.3</v>
      </c>
      <c r="AU13" s="2">
        <v>284.7</v>
      </c>
      <c r="AV13" s="2">
        <v>288.60000000000002</v>
      </c>
      <c r="AW13" s="2">
        <v>372.45</v>
      </c>
      <c r="AX13" s="2">
        <v>313.3</v>
      </c>
      <c r="AY13" s="2">
        <f>Production!DV13</f>
        <v>187.20000000000002</v>
      </c>
      <c r="AZ13" s="2">
        <f>Production!DW13</f>
        <v>323.05</v>
      </c>
      <c r="BA13" s="2">
        <f>Production!DX13</f>
        <v>332.8</v>
      </c>
      <c r="BB13" s="2">
        <f>Production!DY13</f>
        <v>321.10000000000002</v>
      </c>
      <c r="BC13" s="2">
        <f>Production!DZ13</f>
        <v>300.3</v>
      </c>
      <c r="BD13" s="2">
        <f>Production!EA13</f>
        <v>258.7</v>
      </c>
      <c r="BE13" s="2">
        <f>Production!EB13</f>
        <v>248.95000000000002</v>
      </c>
      <c r="BF13" s="2">
        <f>Production!EC13</f>
        <v>246.35</v>
      </c>
      <c r="BG13" s="2">
        <f>Production!ED13</f>
        <v>125.45</v>
      </c>
      <c r="BH13" s="2">
        <f t="shared" ref="BH13:BR13" si="39">AV13</f>
        <v>288.60000000000002</v>
      </c>
      <c r="BI13" s="2">
        <f t="shared" si="39"/>
        <v>372.45</v>
      </c>
      <c r="BJ13" s="47">
        <f t="shared" si="39"/>
        <v>313.3</v>
      </c>
      <c r="BK13" s="47">
        <f t="shared" si="39"/>
        <v>187.20000000000002</v>
      </c>
      <c r="BL13" s="47">
        <f t="shared" si="39"/>
        <v>323.05</v>
      </c>
      <c r="BM13" s="47">
        <f t="shared" si="39"/>
        <v>332.8</v>
      </c>
      <c r="BN13" s="47">
        <f t="shared" si="39"/>
        <v>321.10000000000002</v>
      </c>
      <c r="BO13" s="47">
        <f t="shared" si="39"/>
        <v>300.3</v>
      </c>
      <c r="BP13" s="47">
        <f t="shared" si="39"/>
        <v>258.7</v>
      </c>
      <c r="BQ13" s="47">
        <f t="shared" si="39"/>
        <v>248.95000000000002</v>
      </c>
      <c r="BR13" s="47">
        <f t="shared" si="39"/>
        <v>246.35</v>
      </c>
    </row>
    <row r="14" spans="1:70" ht="15" customHeight="1" x14ac:dyDescent="0.3">
      <c r="A14" t="s">
        <v>474</v>
      </c>
      <c r="B14" s="2">
        <f t="shared" ref="B14:AD14" si="40">B10+B12-B11</f>
        <v>-1200.69848753</v>
      </c>
      <c r="C14" s="2">
        <f t="shared" si="40"/>
        <v>-1183.3939458040006</v>
      </c>
      <c r="D14" s="2">
        <f t="shared" si="40"/>
        <v>-1082.6495187680002</v>
      </c>
      <c r="E14" s="2">
        <f t="shared" si="40"/>
        <v>-1024.9281649679999</v>
      </c>
      <c r="F14" s="2">
        <f t="shared" si="40"/>
        <v>-808.50325300500072</v>
      </c>
      <c r="G14" s="2">
        <f t="shared" si="40"/>
        <v>262.4131962019992</v>
      </c>
      <c r="H14" s="2">
        <f t="shared" si="40"/>
        <v>-1116.2669093909994</v>
      </c>
      <c r="I14" s="2">
        <f t="shared" si="40"/>
        <v>-976.32274376000078</v>
      </c>
      <c r="J14" s="2">
        <f t="shared" si="40"/>
        <v>-349.65758645899996</v>
      </c>
      <c r="K14" s="2">
        <f t="shared" si="40"/>
        <v>-758.54330856899969</v>
      </c>
      <c r="L14" s="2">
        <f t="shared" si="40"/>
        <v>-1045.8107520249998</v>
      </c>
      <c r="M14" s="2">
        <f t="shared" si="40"/>
        <v>-1099.8703808999996</v>
      </c>
      <c r="N14" s="2">
        <f t="shared" si="40"/>
        <v>-110.14161984800012</v>
      </c>
      <c r="O14" s="2">
        <f t="shared" si="40"/>
        <v>-924.95139193199998</v>
      </c>
      <c r="P14" s="2">
        <f t="shared" si="40"/>
        <v>-74.64400079699908</v>
      </c>
      <c r="Q14" s="2">
        <f t="shared" si="40"/>
        <v>-484.47180936800009</v>
      </c>
      <c r="R14" s="2">
        <f t="shared" si="40"/>
        <v>-610.27365959200006</v>
      </c>
      <c r="S14" s="2">
        <f t="shared" si="40"/>
        <v>77.718845507000424</v>
      </c>
      <c r="T14" s="2">
        <f t="shared" si="40"/>
        <v>-367.78803000000016</v>
      </c>
      <c r="U14" s="2">
        <f t="shared" si="40"/>
        <v>-247.18580979999979</v>
      </c>
      <c r="V14" s="2">
        <f t="shared" si="40"/>
        <v>-50.765700055999787</v>
      </c>
      <c r="W14" s="2">
        <f t="shared" si="40"/>
        <v>-1548.3256282206667</v>
      </c>
      <c r="X14" s="2">
        <f t="shared" si="40"/>
        <v>141.21658657533226</v>
      </c>
      <c r="Y14" s="2">
        <f t="shared" si="40"/>
        <v>-1074.2466806656666</v>
      </c>
      <c r="Z14" s="2">
        <f t="shared" si="40"/>
        <v>-1029.0427689846665</v>
      </c>
      <c r="AA14" s="2">
        <f t="shared" si="40"/>
        <v>89.585899858333505</v>
      </c>
      <c r="AB14" s="2">
        <f t="shared" si="40"/>
        <v>-4.9149735696673815</v>
      </c>
      <c r="AC14" s="2">
        <f t="shared" si="40"/>
        <v>-942.91143366666711</v>
      </c>
      <c r="AD14" s="2">
        <f t="shared" si="40"/>
        <v>-731.85873147366669</v>
      </c>
      <c r="AE14" s="2">
        <f t="shared" ref="AE14:BR14" si="41">AE10+AE12-AE11</f>
        <v>-719.08169247366686</v>
      </c>
      <c r="AF14" s="2">
        <f t="shared" si="41"/>
        <v>-925.98475066666697</v>
      </c>
      <c r="AG14" s="2">
        <f t="shared" si="41"/>
        <v>-632.53086347666681</v>
      </c>
      <c r="AH14" s="2">
        <f t="shared" si="41"/>
        <v>-536.98585614566673</v>
      </c>
      <c r="AI14" s="2">
        <f t="shared" si="41"/>
        <v>-659.74062535400026</v>
      </c>
      <c r="AJ14" s="2">
        <f t="shared" si="41"/>
        <v>-903.56154075999984</v>
      </c>
      <c r="AK14" s="2">
        <f t="shared" si="41"/>
        <v>-859.40874181000027</v>
      </c>
      <c r="AL14" s="2">
        <f t="shared" si="41"/>
        <v>-536.97578797899996</v>
      </c>
      <c r="AM14" s="2">
        <f t="shared" si="41"/>
        <v>-548.66059375300028</v>
      </c>
      <c r="AN14" s="2">
        <f t="shared" si="41"/>
        <v>-1165.396537742</v>
      </c>
      <c r="AO14" s="2">
        <f t="shared" si="41"/>
        <v>-436.42220508799983</v>
      </c>
      <c r="AP14" s="2">
        <f t="shared" si="41"/>
        <v>-1317.2826331009996</v>
      </c>
      <c r="AQ14" s="2">
        <f t="shared" si="41"/>
        <v>-684.28364847800003</v>
      </c>
      <c r="AR14" s="2">
        <f t="shared" si="41"/>
        <v>-466.10083757000029</v>
      </c>
      <c r="AS14" s="2">
        <f t="shared" si="41"/>
        <v>-192.1912004159999</v>
      </c>
      <c r="AT14" s="2">
        <f t="shared" si="41"/>
        <v>-1094.697045272</v>
      </c>
      <c r="AU14" s="2">
        <f t="shared" si="41"/>
        <v>-784.12211462000005</v>
      </c>
      <c r="AV14" s="2">
        <f t="shared" si="41"/>
        <v>-422.37782538100009</v>
      </c>
      <c r="AW14" s="2">
        <f t="shared" si="41"/>
        <v>180.84591186999978</v>
      </c>
      <c r="AX14" s="2">
        <f t="shared" si="41"/>
        <v>-795.75439950799978</v>
      </c>
      <c r="AY14" s="2">
        <f t="shared" si="41"/>
        <v>-186.98248480999973</v>
      </c>
      <c r="AZ14" s="2">
        <f t="shared" si="41"/>
        <v>-781.49169875100029</v>
      </c>
      <c r="BA14" s="2">
        <f t="shared" si="41"/>
        <v>-541.72000975299989</v>
      </c>
      <c r="BB14" s="2">
        <f t="shared" si="41"/>
        <v>-518.36289999999985</v>
      </c>
      <c r="BC14" s="2">
        <f t="shared" si="41"/>
        <v>-364.772336</v>
      </c>
      <c r="BD14" s="2">
        <f t="shared" si="41"/>
        <v>-701</v>
      </c>
      <c r="BE14" s="2">
        <f t="shared" si="41"/>
        <v>-1169.5998953179999</v>
      </c>
      <c r="BF14" s="2">
        <f t="shared" si="41"/>
        <v>-1159.5206644249999</v>
      </c>
      <c r="BG14" s="2">
        <f t="shared" si="41"/>
        <v>-1052.2260380829998</v>
      </c>
      <c r="BH14" s="2">
        <f t="shared" si="41"/>
        <v>142.77396191700018</v>
      </c>
      <c r="BI14" s="2">
        <f t="shared" si="41"/>
        <v>-1320.2260380829998</v>
      </c>
      <c r="BJ14" s="2">
        <f t="shared" si="41"/>
        <v>-428</v>
      </c>
      <c r="BK14" s="2">
        <f t="shared" si="41"/>
        <v>-787</v>
      </c>
      <c r="BL14" s="2">
        <f t="shared" si="41"/>
        <v>-364</v>
      </c>
      <c r="BM14" s="2">
        <f t="shared" si="41"/>
        <v>-699</v>
      </c>
      <c r="BN14" s="2">
        <f t="shared" si="41"/>
        <v>-963</v>
      </c>
      <c r="BO14" s="2">
        <f t="shared" si="41"/>
        <v>-437</v>
      </c>
      <c r="BP14" s="2">
        <f t="shared" si="41"/>
        <v>-681</v>
      </c>
      <c r="BQ14" s="2">
        <f t="shared" si="41"/>
        <v>-769</v>
      </c>
      <c r="BR14" s="2">
        <f t="shared" si="41"/>
        <v>-1005</v>
      </c>
    </row>
    <row r="15" spans="1:70" ht="15" customHeight="1" x14ac:dyDescent="0.3">
      <c r="A15" t="s">
        <v>475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</row>
    <row r="16" spans="1:70" s="48" customFormat="1" ht="15" customHeight="1" x14ac:dyDescent="0.3">
      <c r="A16" s="48" t="s">
        <v>476</v>
      </c>
      <c r="B16" s="49"/>
      <c r="C16" s="49">
        <f t="shared" ref="C16" si="42">B6+C10+C13-C11+C12</f>
        <v>4398.0426873173074</v>
      </c>
      <c r="D16" s="49">
        <f t="shared" ref="D16" si="43">C6+D10+D13-D11+D12</f>
        <v>4538.66125746329</v>
      </c>
      <c r="E16" s="49">
        <f t="shared" ref="E16" si="44">D6+E10+E13-E11+E12</f>
        <v>5190.1631930686417</v>
      </c>
      <c r="F16" s="49">
        <f t="shared" ref="F16" si="45">E6+F10+F13-F11+F12</f>
        <v>5167.8278694584669</v>
      </c>
      <c r="G16" s="49">
        <f t="shared" ref="G16" si="46">F6+G10+G13-G11+G12</f>
        <v>5516.2854613861946</v>
      </c>
      <c r="H16" s="49">
        <f t="shared" ref="H16" si="47">G6+H10+H13-H11+H12</f>
        <v>3838.6979886710396</v>
      </c>
      <c r="I16" s="49">
        <f t="shared" ref="I16" si="48">H6+I10+I13-I11+I12</f>
        <v>3690.1313679574268</v>
      </c>
      <c r="J16" s="49">
        <f t="shared" ref="J16" si="49">I6+J10+J13-J11+J12</f>
        <v>4284.8229955898178</v>
      </c>
      <c r="K16" s="49">
        <f t="shared" ref="K16" si="50">J6+K10+K13-K11+K12</f>
        <v>3637.8597643119338</v>
      </c>
      <c r="L16" s="49">
        <f t="shared" ref="L16" si="51">K6+L10+L13-L11+L12</f>
        <v>3514.1403585541293</v>
      </c>
      <c r="M16" s="49">
        <f t="shared" ref="M16" si="52">L6+M10+M13-M11+M12</f>
        <v>3572.3505313047449</v>
      </c>
      <c r="N16" s="49">
        <f t="shared" ref="N16" si="53">M6+N10+N13-N11+N12</f>
        <v>4308.5854898810203</v>
      </c>
      <c r="O16" s="49">
        <f t="shared" ref="O16" si="54">N6+O10+O13-O11+O12</f>
        <v>3742.0732090985966</v>
      </c>
      <c r="P16" s="49">
        <f t="shared" ref="P16" si="55">O6+P10+P13-P11+P12</f>
        <v>4612.3558983655221</v>
      </c>
      <c r="Q16" s="49">
        <f t="shared" ref="Q16" si="56">P6+Q10+Q13-Q11+Q12</f>
        <v>3911.7425213369916</v>
      </c>
      <c r="R16" s="49">
        <f t="shared" ref="R16" si="57">Q6+R10+R13-R11+R12</f>
        <v>3783.0100317408569</v>
      </c>
      <c r="S16" s="49">
        <f t="shared" ref="S16" si="58">R6+S10+S13-S11+S12</f>
        <v>4778.2185346625429</v>
      </c>
      <c r="T16" s="49">
        <f t="shared" ref="T16" si="59">S6+T10+T13-T11+T12</f>
        <v>4304.906634853739</v>
      </c>
      <c r="U16" s="49">
        <f t="shared" ref="U16" si="60">T6+U10+U13-U11+U12</f>
        <v>4377.7824746652041</v>
      </c>
      <c r="V16" s="49">
        <f t="shared" ref="V16" si="61">U6+V10+V13-V11+V12</f>
        <v>4119.9873684514623</v>
      </c>
      <c r="W16" s="49">
        <f t="shared" ref="W16" si="62">V6+W10+W13-W11+W12</f>
        <v>2738.7273347649989</v>
      </c>
      <c r="X16" s="49">
        <f t="shared" ref="X16" si="63">W6+X10+X13-X11+X12</f>
        <v>4483.3201855891875</v>
      </c>
      <c r="Y16" s="49">
        <f t="shared" ref="Y16" si="64">X6+Y10+Y13-Y11+Y12</f>
        <v>3460.7638363864462</v>
      </c>
      <c r="Z16" s="49">
        <f t="shared" ref="Z16" si="65">Y6+Z10+Z13-Z11+Z12</f>
        <v>3269.3857592613067</v>
      </c>
      <c r="AA16" s="49">
        <f t="shared" ref="AA16" si="66">Z6+AA10+AA13-AA11+AA12</f>
        <v>4603.5933021734745</v>
      </c>
      <c r="AB16" s="49">
        <f t="shared" ref="AB16" si="67">AA6+AB10+AB13-AB11+AB12</f>
        <v>3832.1576426618371</v>
      </c>
      <c r="AC16" s="49">
        <f t="shared" ref="AC16" si="68">AB6+AC10+AC13-AC11+AC12</f>
        <v>3116.1554824747304</v>
      </c>
      <c r="AD16" s="49">
        <f t="shared" ref="AD16" si="69">AC6+AD10+AD13-AD11+AD12</f>
        <v>3353.1292051581659</v>
      </c>
      <c r="AE16" s="49">
        <f t="shared" ref="AE16" si="70">AD6+AE10+AE13-AE11+AE12</f>
        <v>3628.6219354734853</v>
      </c>
      <c r="AF16" s="49">
        <f t="shared" ref="AF16" si="71">AE6+AF10+AF13-AF11+AF12</f>
        <v>3365.7331550872264</v>
      </c>
      <c r="AG16" s="49">
        <f t="shared" ref="AG16" si="72">AF6+AG10+AG13-AG11+AG12</f>
        <v>3499.4451234326129</v>
      </c>
      <c r="AH16" s="49">
        <f t="shared" ref="AH16" si="73">AG6+AH10+AH13-AH11+AH12</f>
        <v>3405.9362132471424</v>
      </c>
      <c r="AI16" s="49">
        <f t="shared" ref="AI16:BR16" si="74">AH6+AI10+AI13-AI11+AI12</f>
        <v>3874.7897663364251</v>
      </c>
      <c r="AJ16" s="49">
        <f t="shared" si="74"/>
        <v>3679.6875928394725</v>
      </c>
      <c r="AK16" s="49">
        <f t="shared" si="74"/>
        <v>3730.7405329777512</v>
      </c>
      <c r="AL16" s="49">
        <f t="shared" si="74"/>
        <v>3946.0428693609379</v>
      </c>
      <c r="AM16" s="49">
        <f t="shared" si="74"/>
        <v>3994.0852512078736</v>
      </c>
      <c r="AN16" s="49">
        <f t="shared" si="74"/>
        <v>3299.7063362538984</v>
      </c>
      <c r="AO16" s="49">
        <f t="shared" si="74"/>
        <v>4182.566043898868</v>
      </c>
      <c r="AP16" s="49">
        <f t="shared" si="74"/>
        <v>2773.9838368689043</v>
      </c>
      <c r="AQ16" s="49">
        <f t="shared" si="74"/>
        <v>3214.8420362575598</v>
      </c>
      <c r="AR16" s="49">
        <f t="shared" si="74"/>
        <v>3153.6385555437214</v>
      </c>
      <c r="AS16" s="49">
        <f t="shared" si="74"/>
        <v>3608.3407466108092</v>
      </c>
      <c r="AT16" s="49">
        <f t="shared" si="74"/>
        <v>2541.32101306603</v>
      </c>
      <c r="AU16" s="49">
        <f t="shared" si="74"/>
        <v>3979.1412628694798</v>
      </c>
      <c r="AV16" s="49">
        <f t="shared" si="74"/>
        <v>3604.3118281913635</v>
      </c>
      <c r="AW16" s="49">
        <f t="shared" si="74"/>
        <v>3937.9629938690314</v>
      </c>
      <c r="AX16" s="49">
        <f t="shared" si="74"/>
        <v>3021.3017815225858</v>
      </c>
      <c r="AY16" s="49">
        <f t="shared" si="74"/>
        <v>3701.6921099163674</v>
      </c>
      <c r="AZ16" s="49">
        <f t="shared" si="74"/>
        <v>2835.9552339509378</v>
      </c>
      <c r="BA16" s="49">
        <f t="shared" si="74"/>
        <v>3311.5069849157858</v>
      </c>
      <c r="BB16" s="49">
        <f t="shared" si="74"/>
        <v>3291.2797782473986</v>
      </c>
      <c r="BC16" s="49">
        <f t="shared" si="74"/>
        <v>3765.4267608669343</v>
      </c>
      <c r="BD16" s="49">
        <f t="shared" si="74"/>
        <v>3520.8399975481125</v>
      </c>
      <c r="BE16" s="49">
        <f t="shared" si="74"/>
        <v>2855.4274353824458</v>
      </c>
      <c r="BF16" s="49">
        <f t="shared" si="74"/>
        <v>2954.7231534534631</v>
      </c>
      <c r="BG16" s="49">
        <f t="shared" si="74"/>
        <v>3037.5411959796024</v>
      </c>
      <c r="BH16" s="49">
        <f t="shared" si="74"/>
        <v>3752.293742229795</v>
      </c>
      <c r="BI16" s="49">
        <f t="shared" si="74"/>
        <v>2591.8295748141004</v>
      </c>
      <c r="BJ16" s="49">
        <f t="shared" si="74"/>
        <v>3563.8970089404602</v>
      </c>
      <c r="BK16" s="49">
        <f t="shared" si="74"/>
        <v>3073.2564693006516</v>
      </c>
      <c r="BL16" s="49">
        <f t="shared" si="74"/>
        <v>3512.1177165354338</v>
      </c>
      <c r="BM16" s="49">
        <f t="shared" si="74"/>
        <v>3170.9881889763783</v>
      </c>
      <c r="BN16" s="49">
        <f t="shared" si="74"/>
        <v>2841.4874015748037</v>
      </c>
      <c r="BO16" s="49">
        <f t="shared" si="74"/>
        <v>3324.2818897637799</v>
      </c>
      <c r="BP16" s="49">
        <f t="shared" si="74"/>
        <v>3018.833858267717</v>
      </c>
      <c r="BQ16" s="49">
        <f t="shared" si="74"/>
        <v>2901.6822834645673</v>
      </c>
      <c r="BR16" s="49">
        <f t="shared" si="74"/>
        <v>2646.0618110236228</v>
      </c>
    </row>
    <row r="17" spans="1:70" s="48" customFormat="1" ht="15" customHeight="1" x14ac:dyDescent="0.3">
      <c r="A17" s="48" t="s">
        <v>477</v>
      </c>
      <c r="B17" s="50"/>
      <c r="C17" s="50">
        <f t="shared" ref="C17:AH17" si="75">IF(C6=0,"",C16-C6)</f>
        <v>-1028.2680889139829</v>
      </c>
      <c r="D17" s="50">
        <f t="shared" si="75"/>
        <v>-1493.7801005733527</v>
      </c>
      <c r="E17" s="50">
        <f t="shared" si="75"/>
        <v>-600.9179293948273</v>
      </c>
      <c r="F17" s="50">
        <f t="shared" si="75"/>
        <v>116.10560427427026</v>
      </c>
      <c r="G17" s="50">
        <f t="shared" si="75"/>
        <v>749.17056332415541</v>
      </c>
      <c r="H17" s="50">
        <f t="shared" si="75"/>
        <v>-689.9561230463878</v>
      </c>
      <c r="I17" s="50">
        <f t="shared" si="75"/>
        <v>-761.6992140913917</v>
      </c>
      <c r="J17" s="50">
        <f t="shared" si="75"/>
        <v>167.91992270888386</v>
      </c>
      <c r="K17" s="50">
        <f t="shared" si="75"/>
        <v>-691.34134626719515</v>
      </c>
      <c r="L17" s="50">
        <f t="shared" si="75"/>
        <v>-867.53055365061482</v>
      </c>
      <c r="M17" s="50">
        <f t="shared" si="75"/>
        <v>-570.12657842427461</v>
      </c>
      <c r="N17" s="50">
        <f t="shared" si="75"/>
        <v>-60.089111149575729</v>
      </c>
      <c r="O17" s="50">
        <f t="shared" si="75"/>
        <v>-590.67669006392498</v>
      </c>
      <c r="P17" s="50">
        <f t="shared" si="75"/>
        <v>527.49156766053056</v>
      </c>
      <c r="Q17" s="50">
        <f t="shared" si="75"/>
        <v>-164.34116999586513</v>
      </c>
      <c r="R17" s="50">
        <f t="shared" si="75"/>
        <v>-681.53965741468619</v>
      </c>
      <c r="S17" s="50">
        <f t="shared" si="75"/>
        <v>444.17386980880383</v>
      </c>
      <c r="T17" s="50">
        <f t="shared" si="75"/>
        <v>-62.011649611465145</v>
      </c>
      <c r="U17" s="50">
        <f t="shared" si="75"/>
        <v>449.47940615774132</v>
      </c>
      <c r="V17" s="50">
        <f t="shared" si="75"/>
        <v>131.93440546579677</v>
      </c>
      <c r="W17" s="50">
        <f t="shared" si="75"/>
        <v>-1318.0262642488569</v>
      </c>
      <c r="X17" s="50">
        <f t="shared" si="75"/>
        <v>217.40966853707505</v>
      </c>
      <c r="Y17" s="50">
        <f t="shared" si="75"/>
        <v>-552.31469185952665</v>
      </c>
      <c r="Z17" s="50">
        <f t="shared" si="75"/>
        <v>-986.57164305383503</v>
      </c>
      <c r="AA17" s="50">
        <f t="shared" si="75"/>
        <v>1035.6206859419699</v>
      </c>
      <c r="AB17" s="50">
        <f t="shared" si="75"/>
        <v>31.790726520439875</v>
      </c>
      <c r="AC17" s="50">
        <f t="shared" si="75"/>
        <v>-664.63245415710253</v>
      </c>
      <c r="AD17" s="50">
        <f t="shared" si="75"/>
        <v>-699.47442278898598</v>
      </c>
      <c r="AE17" s="50">
        <f t="shared" si="75"/>
        <v>-390.09597028040798</v>
      </c>
      <c r="AF17" s="50">
        <f t="shared" si="75"/>
        <v>-358.04283182205336</v>
      </c>
      <c r="AG17" s="50">
        <f t="shared" si="75"/>
        <v>-69.72694596019619</v>
      </c>
      <c r="AH17" s="50">
        <f t="shared" si="75"/>
        <v>-765.24417844328218</v>
      </c>
      <c r="AI17" s="50">
        <f t="shared" ref="AI17:BR17" si="76">IF(AI6=0,"",AI16-AI6)</f>
        <v>-460.80936726304799</v>
      </c>
      <c r="AJ17" s="50">
        <f t="shared" si="76"/>
        <v>-550.36168194827815</v>
      </c>
      <c r="AK17" s="50">
        <f t="shared" si="76"/>
        <v>-415.57812436218683</v>
      </c>
      <c r="AL17" s="50">
        <f t="shared" si="76"/>
        <v>-322.40297559993587</v>
      </c>
      <c r="AM17" s="50">
        <f t="shared" si="76"/>
        <v>-185.01762278802471</v>
      </c>
      <c r="AN17" s="50">
        <f t="shared" si="76"/>
        <v>-1054.7319127329692</v>
      </c>
      <c r="AO17" s="50">
        <f t="shared" si="76"/>
        <v>377.29957392896358</v>
      </c>
      <c r="AP17" s="50">
        <f t="shared" si="76"/>
        <v>-792.99184786665637</v>
      </c>
      <c r="AQ17" s="50">
        <f t="shared" si="76"/>
        <v>-74.697356856161605</v>
      </c>
      <c r="AR17" s="50">
        <f t="shared" si="76"/>
        <v>-366.093391483088</v>
      </c>
      <c r="AS17" s="50">
        <f t="shared" si="76"/>
        <v>246.62268827277967</v>
      </c>
      <c r="AT17" s="50">
        <f t="shared" si="76"/>
        <v>-1937.2423644234505</v>
      </c>
      <c r="AU17" s="50">
        <f t="shared" si="76"/>
        <v>241.05160929711701</v>
      </c>
      <c r="AV17" s="50">
        <f t="shared" si="76"/>
        <v>219.64474619233215</v>
      </c>
      <c r="AW17" s="50">
        <f t="shared" si="76"/>
        <v>434.20681283844579</v>
      </c>
      <c r="AX17" s="50">
        <f t="shared" si="76"/>
        <v>-680.17281320378152</v>
      </c>
      <c r="AY17" s="50">
        <f t="shared" si="76"/>
        <v>407.29517721442926</v>
      </c>
      <c r="AZ17" s="50">
        <f t="shared" si="76"/>
        <v>-684.4717607178477</v>
      </c>
      <c r="BA17" s="50">
        <f t="shared" si="76"/>
        <v>-177.03569333161204</v>
      </c>
      <c r="BB17" s="50">
        <f t="shared" si="76"/>
        <v>-538.61931861953553</v>
      </c>
      <c r="BC17" s="50">
        <f t="shared" si="76"/>
        <v>-197.71323668117839</v>
      </c>
      <c r="BD17" s="50">
        <f t="shared" si="76"/>
        <v>-255.23733315233312</v>
      </c>
      <c r="BE17" s="50">
        <f t="shared" si="76"/>
        <v>-1012.4663824960171</v>
      </c>
      <c r="BF17" s="50">
        <f t="shared" si="76"/>
        <v>-1009.5940806091394</v>
      </c>
      <c r="BG17" s="50">
        <f t="shared" si="76"/>
        <v>-283.37858433319207</v>
      </c>
      <c r="BH17" s="50">
        <f t="shared" si="76"/>
        <v>212.68812933269464</v>
      </c>
      <c r="BI17" s="50">
        <f t="shared" si="76"/>
        <v>-1086.7674341263596</v>
      </c>
      <c r="BJ17" s="50">
        <f t="shared" si="76"/>
        <v>-109.15946036019159</v>
      </c>
      <c r="BK17" s="50">
        <f t="shared" si="76"/>
        <v>-479.81124723478206</v>
      </c>
      <c r="BL17" s="50">
        <f t="shared" si="76"/>
        <v>-25.070472440944286</v>
      </c>
      <c r="BM17" s="50">
        <f t="shared" si="76"/>
        <v>-312.39921259842504</v>
      </c>
      <c r="BN17" s="50">
        <f t="shared" si="76"/>
        <v>-619.49448818897599</v>
      </c>
      <c r="BO17" s="50">
        <f t="shared" si="76"/>
        <v>-116.85196850393731</v>
      </c>
      <c r="BP17" s="50">
        <f t="shared" si="76"/>
        <v>-402.89842519685044</v>
      </c>
      <c r="BQ17" s="50">
        <f t="shared" si="76"/>
        <v>-503.02952755905517</v>
      </c>
      <c r="BR17" s="50">
        <f t="shared" si="76"/>
        <v>-1025.3334645669288</v>
      </c>
    </row>
    <row r="18" spans="1:70" s="48" customFormat="1" ht="15" customHeight="1" x14ac:dyDescent="0.3">
      <c r="A18" s="48" t="s">
        <v>478</v>
      </c>
      <c r="B18" s="50"/>
      <c r="C18" s="50">
        <f t="shared" ref="C18" si="77">C16-B16</f>
        <v>4398.0426873173074</v>
      </c>
      <c r="D18" s="50">
        <f t="shared" ref="D18" si="78">D16-C16</f>
        <v>140.61857014598263</v>
      </c>
      <c r="E18" s="50">
        <f t="shared" ref="E18" si="79">E16-D16</f>
        <v>651.50193560535172</v>
      </c>
      <c r="F18" s="50">
        <f t="shared" ref="F18" si="80">F16-E16</f>
        <v>-22.335323610174783</v>
      </c>
      <c r="G18" s="50">
        <f t="shared" ref="G18" si="81">G16-F16</f>
        <v>348.45759192772766</v>
      </c>
      <c r="H18" s="50">
        <f t="shared" ref="H18" si="82">H16-G16</f>
        <v>-1677.5874727151549</v>
      </c>
      <c r="I18" s="50">
        <f t="shared" ref="I18" si="83">I16-H16</f>
        <v>-148.56662071361279</v>
      </c>
      <c r="J18" s="50">
        <f t="shared" ref="J18" si="84">J16-I16</f>
        <v>594.69162763239092</v>
      </c>
      <c r="K18" s="50">
        <f t="shared" ref="K18" si="85">K16-J16</f>
        <v>-646.96323127788401</v>
      </c>
      <c r="L18" s="50">
        <f t="shared" ref="L18" si="86">L16-K16</f>
        <v>-123.71940575780445</v>
      </c>
      <c r="M18" s="50">
        <f t="shared" ref="M18" si="87">M16-L16</f>
        <v>58.210172750615584</v>
      </c>
      <c r="N18" s="50">
        <f t="shared" ref="N18" si="88">N16-M16</f>
        <v>736.2349585762754</v>
      </c>
      <c r="O18" s="50">
        <f t="shared" ref="O18" si="89">O16-N16</f>
        <v>-566.51228078242366</v>
      </c>
      <c r="P18" s="50">
        <f t="shared" ref="P18" si="90">P16-O16</f>
        <v>870.28268926692544</v>
      </c>
      <c r="Q18" s="50">
        <f t="shared" ref="Q18" si="91">Q16-P16</f>
        <v>-700.61337702853052</v>
      </c>
      <c r="R18" s="50">
        <f t="shared" ref="R18" si="92">R16-Q16</f>
        <v>-128.73248959613466</v>
      </c>
      <c r="S18" s="50">
        <f t="shared" ref="S18" si="93">S16-R16</f>
        <v>995.20850292168598</v>
      </c>
      <c r="T18" s="50">
        <f t="shared" ref="T18" si="94">T16-S16</f>
        <v>-473.3118998088039</v>
      </c>
      <c r="U18" s="50">
        <f t="shared" ref="U18" si="95">U16-T16</f>
        <v>72.875839811465084</v>
      </c>
      <c r="V18" s="50">
        <f t="shared" ref="V18" si="96">V16-U16</f>
        <v>-257.79510621374175</v>
      </c>
      <c r="W18" s="50">
        <f t="shared" ref="W18" si="97">W16-V16</f>
        <v>-1381.2600336864634</v>
      </c>
      <c r="X18" s="50">
        <f t="shared" ref="X18" si="98">X16-W16</f>
        <v>1744.5928508241886</v>
      </c>
      <c r="Y18" s="50">
        <f t="shared" ref="Y18" si="99">Y16-X16</f>
        <v>-1022.5563492027413</v>
      </c>
      <c r="Z18" s="50">
        <f t="shared" ref="Z18" si="100">Z16-Y16</f>
        <v>-191.3780771251395</v>
      </c>
      <c r="AA18" s="50">
        <f t="shared" ref="AA18" si="101">AA16-Z16</f>
        <v>1334.2075429121678</v>
      </c>
      <c r="AB18" s="50">
        <f t="shared" ref="AB18" si="102">AB16-AA16</f>
        <v>-771.43565951163737</v>
      </c>
      <c r="AC18" s="50">
        <f t="shared" ref="AC18" si="103">AC16-AB16</f>
        <v>-716.00216018710671</v>
      </c>
      <c r="AD18" s="50">
        <f t="shared" ref="AD18" si="104">AD16-AC16</f>
        <v>236.97372268343543</v>
      </c>
      <c r="AE18" s="50">
        <f t="shared" ref="AE18" si="105">AE16-AD16</f>
        <v>275.49273031531948</v>
      </c>
      <c r="AF18" s="50">
        <f t="shared" ref="AF18" si="106">AF16-AE16</f>
        <v>-262.88878038625899</v>
      </c>
      <c r="AG18" s="50">
        <f t="shared" ref="AG18" si="107">AG16-AF16</f>
        <v>133.71196834538659</v>
      </c>
      <c r="AH18" s="50">
        <f t="shared" ref="AH18" si="108">AH16-AG16</f>
        <v>-93.50891018547054</v>
      </c>
      <c r="AI18" s="50">
        <f t="shared" ref="AI18:BR18" si="109">AI16-AH16</f>
        <v>468.85355308928274</v>
      </c>
      <c r="AJ18" s="50">
        <f t="shared" si="109"/>
        <v>-195.10217349695267</v>
      </c>
      <c r="AK18" s="50">
        <f t="shared" si="109"/>
        <v>51.0529401382787</v>
      </c>
      <c r="AL18" s="50">
        <f t="shared" si="109"/>
        <v>215.30233638318668</v>
      </c>
      <c r="AM18" s="50">
        <f t="shared" si="109"/>
        <v>48.042381846935768</v>
      </c>
      <c r="AN18" s="50">
        <f t="shared" si="109"/>
        <v>-694.37891495397525</v>
      </c>
      <c r="AO18" s="50">
        <f t="shared" si="109"/>
        <v>882.8597076449696</v>
      </c>
      <c r="AP18" s="50">
        <f t="shared" si="109"/>
        <v>-1408.5822070299637</v>
      </c>
      <c r="AQ18" s="50">
        <f t="shared" si="109"/>
        <v>440.85819938865552</v>
      </c>
      <c r="AR18" s="50">
        <f t="shared" si="109"/>
        <v>-61.203480713838417</v>
      </c>
      <c r="AS18" s="50">
        <f t="shared" si="109"/>
        <v>454.70219106708782</v>
      </c>
      <c r="AT18" s="50">
        <f t="shared" si="109"/>
        <v>-1067.0197335447792</v>
      </c>
      <c r="AU18" s="50">
        <f t="shared" si="109"/>
        <v>1437.8202498034498</v>
      </c>
      <c r="AV18" s="50">
        <f t="shared" si="109"/>
        <v>-374.82943467811629</v>
      </c>
      <c r="AW18" s="50">
        <f t="shared" si="109"/>
        <v>333.6511656776679</v>
      </c>
      <c r="AX18" s="50">
        <f t="shared" si="109"/>
        <v>-916.66121234644561</v>
      </c>
      <c r="AY18" s="50">
        <f t="shared" si="109"/>
        <v>680.3903283937816</v>
      </c>
      <c r="AZ18" s="50">
        <f t="shared" si="109"/>
        <v>-865.73687596542959</v>
      </c>
      <c r="BA18" s="50">
        <f t="shared" si="109"/>
        <v>475.551750964848</v>
      </c>
      <c r="BB18" s="50">
        <f t="shared" si="109"/>
        <v>-20.227206668387225</v>
      </c>
      <c r="BC18" s="50">
        <f t="shared" si="109"/>
        <v>474.14698261953572</v>
      </c>
      <c r="BD18" s="50">
        <f t="shared" si="109"/>
        <v>-244.5867633188218</v>
      </c>
      <c r="BE18" s="50">
        <f t="shared" si="109"/>
        <v>-665.41256216566671</v>
      </c>
      <c r="BF18" s="50">
        <f t="shared" si="109"/>
        <v>99.295718071017291</v>
      </c>
      <c r="BG18" s="50">
        <f t="shared" si="109"/>
        <v>82.818042526139379</v>
      </c>
      <c r="BH18" s="50">
        <f t="shared" si="109"/>
        <v>714.75254625019261</v>
      </c>
      <c r="BI18" s="50">
        <f t="shared" si="109"/>
        <v>-1160.4641674156946</v>
      </c>
      <c r="BJ18" s="50">
        <f t="shared" si="109"/>
        <v>972.06743412635979</v>
      </c>
      <c r="BK18" s="50">
        <f t="shared" si="109"/>
        <v>-490.64053963980859</v>
      </c>
      <c r="BL18" s="50">
        <f t="shared" si="109"/>
        <v>438.86124723478224</v>
      </c>
      <c r="BM18" s="50">
        <f t="shared" si="109"/>
        <v>-341.12952755905553</v>
      </c>
      <c r="BN18" s="50">
        <f t="shared" si="109"/>
        <v>-329.5007874015746</v>
      </c>
      <c r="BO18" s="50">
        <f t="shared" si="109"/>
        <v>482.79448818897617</v>
      </c>
      <c r="BP18" s="50">
        <f t="shared" si="109"/>
        <v>-305.44803149606287</v>
      </c>
      <c r="BQ18" s="50">
        <f t="shared" si="109"/>
        <v>-117.15157480314974</v>
      </c>
      <c r="BR18" s="50">
        <f t="shared" si="109"/>
        <v>-255.62047244094447</v>
      </c>
    </row>
    <row r="19" spans="1:70" s="48" customFormat="1" ht="15" customHeight="1" x14ac:dyDescent="0.3">
      <c r="A19" s="48" t="s">
        <v>479</v>
      </c>
      <c r="B19" s="50" t="str">
        <f t="shared" ref="B19:AH19" si="110">IF(B7="","",B18-B7)</f>
        <v/>
      </c>
      <c r="C19" s="50">
        <f t="shared" si="110"/>
        <v>4326.968544207326</v>
      </c>
      <c r="D19" s="50">
        <f t="shared" si="110"/>
        <v>-465.51201165936982</v>
      </c>
      <c r="E19" s="50">
        <f t="shared" si="110"/>
        <v>892.86217117852539</v>
      </c>
      <c r="F19" s="50">
        <f t="shared" si="110"/>
        <v>717.02353366909756</v>
      </c>
      <c r="G19" s="50">
        <f t="shared" si="110"/>
        <v>633.06495904988515</v>
      </c>
      <c r="H19" s="50">
        <f t="shared" si="110"/>
        <v>-1439.1266863705432</v>
      </c>
      <c r="I19" s="50">
        <f t="shared" si="110"/>
        <v>-71.743091045003894</v>
      </c>
      <c r="J19" s="50">
        <f t="shared" si="110"/>
        <v>929.61913680027556</v>
      </c>
      <c r="K19" s="50">
        <f t="shared" si="110"/>
        <v>-859.26126897607901</v>
      </c>
      <c r="L19" s="50">
        <f t="shared" si="110"/>
        <v>-176.18920738341967</v>
      </c>
      <c r="M19" s="50">
        <f t="shared" si="110"/>
        <v>297.40397522634021</v>
      </c>
      <c r="N19" s="50">
        <f t="shared" si="110"/>
        <v>510.03746727469888</v>
      </c>
      <c r="O19" s="50">
        <f t="shared" si="110"/>
        <v>-530.58757891434925</v>
      </c>
      <c r="P19" s="50">
        <f t="shared" si="110"/>
        <v>1118.1682577244555</v>
      </c>
      <c r="Q19" s="50">
        <f t="shared" si="110"/>
        <v>-691.83273765639569</v>
      </c>
      <c r="R19" s="50">
        <f t="shared" si="110"/>
        <v>-517.19848741882106</v>
      </c>
      <c r="S19" s="50">
        <f t="shared" si="110"/>
        <v>1125.71352722349</v>
      </c>
      <c r="T19" s="50">
        <f t="shared" si="110"/>
        <v>-506.18551942026897</v>
      </c>
      <c r="U19" s="50">
        <f t="shared" si="110"/>
        <v>511.49105576920647</v>
      </c>
      <c r="V19" s="50">
        <f t="shared" si="110"/>
        <v>-317.54500069194455</v>
      </c>
      <c r="W19" s="50">
        <f t="shared" si="110"/>
        <v>-1449.9606697146537</v>
      </c>
      <c r="X19" s="50">
        <f t="shared" si="110"/>
        <v>1535.435932785932</v>
      </c>
      <c r="Y19" s="50">
        <f t="shared" si="110"/>
        <v>-769.7243603966017</v>
      </c>
      <c r="Z19" s="50">
        <f t="shared" si="110"/>
        <v>-434.25695119430839</v>
      </c>
      <c r="AA19" s="50">
        <f t="shared" si="110"/>
        <v>2022.1923289958049</v>
      </c>
      <c r="AB19" s="50">
        <f t="shared" si="110"/>
        <v>-1003.82995942153</v>
      </c>
      <c r="AC19" s="50">
        <f t="shared" si="110"/>
        <v>-696.4231806775424</v>
      </c>
      <c r="AD19" s="50">
        <f t="shared" si="110"/>
        <v>-34.841968631883447</v>
      </c>
      <c r="AE19" s="50">
        <f t="shared" si="110"/>
        <v>309.37845250857799</v>
      </c>
      <c r="AF19" s="50">
        <f t="shared" si="110"/>
        <v>32.053138458354624</v>
      </c>
      <c r="AG19" s="50">
        <f t="shared" si="110"/>
        <v>288.31588586185717</v>
      </c>
      <c r="AH19" s="50">
        <f t="shared" si="110"/>
        <v>-695.51723248308599</v>
      </c>
      <c r="AI19" s="50">
        <f t="shared" ref="AI19:BR19" si="111">IF(AI7="","",AI18-AI7)</f>
        <v>304.43481118023419</v>
      </c>
      <c r="AJ19" s="50">
        <f t="shared" si="111"/>
        <v>-89.552314685230158</v>
      </c>
      <c r="AK19" s="50">
        <f t="shared" si="111"/>
        <v>134.78355758609132</v>
      </c>
      <c r="AL19" s="50">
        <f t="shared" si="111"/>
        <v>93.175148762250956</v>
      </c>
      <c r="AM19" s="50">
        <f t="shared" si="111"/>
        <v>137.38535281191116</v>
      </c>
      <c r="AN19" s="50">
        <f t="shared" si="111"/>
        <v>-869.71428994494454</v>
      </c>
      <c r="AO19" s="50">
        <f t="shared" si="111"/>
        <v>1432.0314866619328</v>
      </c>
      <c r="AP19" s="50">
        <f t="shared" si="111"/>
        <v>-1170.29142179562</v>
      </c>
      <c r="AQ19" s="50">
        <f t="shared" si="111"/>
        <v>718.29449101049477</v>
      </c>
      <c r="AR19" s="50">
        <f t="shared" si="111"/>
        <v>-291.39603462692639</v>
      </c>
      <c r="AS19" s="50">
        <f t="shared" si="111"/>
        <v>612.71607975586767</v>
      </c>
      <c r="AT19" s="50">
        <f t="shared" si="111"/>
        <v>-2183.8650526962301</v>
      </c>
      <c r="AU19" s="50">
        <f t="shared" si="111"/>
        <v>2178.2939737205675</v>
      </c>
      <c r="AV19" s="50">
        <f t="shared" si="111"/>
        <v>-21.406863104784861</v>
      </c>
      <c r="AW19" s="50">
        <f t="shared" si="111"/>
        <v>214.56206664611364</v>
      </c>
      <c r="AX19" s="50">
        <f t="shared" si="111"/>
        <v>-1114.3796260422273</v>
      </c>
      <c r="AY19" s="50">
        <f t="shared" si="111"/>
        <v>1087.4679904182108</v>
      </c>
      <c r="AZ19" s="50">
        <f t="shared" si="111"/>
        <v>-1091.766937932277</v>
      </c>
      <c r="BA19" s="50">
        <f t="shared" si="111"/>
        <v>507.43606738623566</v>
      </c>
      <c r="BB19" s="50">
        <f t="shared" si="111"/>
        <v>-361.5836252879235</v>
      </c>
      <c r="BC19" s="50">
        <f t="shared" si="111"/>
        <v>340.90608193835715</v>
      </c>
      <c r="BD19" s="50">
        <f t="shared" si="111"/>
        <v>-57.524096471154735</v>
      </c>
      <c r="BE19" s="50">
        <f t="shared" si="111"/>
        <v>-757.22904934368398</v>
      </c>
      <c r="BF19" s="50">
        <f t="shared" si="111"/>
        <v>2.8723018868777217</v>
      </c>
      <c r="BG19" s="50">
        <f t="shared" si="111"/>
        <v>726.21549627594732</v>
      </c>
      <c r="BH19" s="50">
        <f t="shared" si="111"/>
        <v>496.06671366588671</v>
      </c>
      <c r="BI19" s="50">
        <f t="shared" si="111"/>
        <v>-1299.4555634590542</v>
      </c>
      <c r="BJ19" s="50">
        <f t="shared" si="111"/>
        <v>977.60797376616802</v>
      </c>
      <c r="BK19" s="50">
        <f t="shared" si="111"/>
        <v>-370.65178687459047</v>
      </c>
      <c r="BL19" s="50">
        <f t="shared" si="111"/>
        <v>454.74077479383777</v>
      </c>
      <c r="BM19" s="50">
        <f t="shared" si="111"/>
        <v>-287.32874015748075</v>
      </c>
      <c r="BN19" s="50">
        <f t="shared" si="111"/>
        <v>-307.09527559055095</v>
      </c>
      <c r="BO19" s="50">
        <f t="shared" si="111"/>
        <v>502.64251968503868</v>
      </c>
      <c r="BP19" s="50">
        <f t="shared" si="111"/>
        <v>-286.04645669291313</v>
      </c>
      <c r="BQ19" s="50">
        <f t="shared" si="111"/>
        <v>-100.13110236220473</v>
      </c>
      <c r="BR19" s="50">
        <f t="shared" si="111"/>
        <v>-522.30393700787363</v>
      </c>
    </row>
    <row r="20" spans="1:70" ht="15" customHeight="1" x14ac:dyDescent="0.3">
      <c r="B20" s="51"/>
      <c r="C20" s="51">
        <f t="shared" ref="C20:AH20" si="112">(C16-C6)/C6</f>
        <v>-0.18949671910021729</v>
      </c>
      <c r="D20" s="51">
        <f t="shared" si="112"/>
        <v>-0.24762447107476368</v>
      </c>
      <c r="E20" s="51">
        <f t="shared" si="112"/>
        <v>-0.10376610458173011</v>
      </c>
      <c r="F20" s="51">
        <f t="shared" si="112"/>
        <v>2.2983370458517637E-2</v>
      </c>
      <c r="G20" s="51">
        <f t="shared" si="112"/>
        <v>0.15715387175348206</v>
      </c>
      <c r="H20" s="51">
        <f t="shared" si="112"/>
        <v>-0.15235345999624861</v>
      </c>
      <c r="I20" s="51">
        <f t="shared" si="112"/>
        <v>-0.1710979786973032</v>
      </c>
      <c r="J20" s="51">
        <f t="shared" si="112"/>
        <v>4.0787922313501673E-2</v>
      </c>
      <c r="K20" s="51">
        <f t="shared" si="112"/>
        <v>-0.15969259191442658</v>
      </c>
      <c r="L20" s="51">
        <f t="shared" si="112"/>
        <v>-0.19799080557012799</v>
      </c>
      <c r="M20" s="51">
        <f t="shared" si="112"/>
        <v>-0.13762938534657818</v>
      </c>
      <c r="N20" s="51">
        <f t="shared" si="112"/>
        <v>-1.3754540366865582E-2</v>
      </c>
      <c r="O20" s="51">
        <f t="shared" si="112"/>
        <v>-0.13632836046643196</v>
      </c>
      <c r="P20" s="51">
        <f t="shared" si="112"/>
        <v>0.12913319144910076</v>
      </c>
      <c r="Q20" s="51">
        <f t="shared" si="112"/>
        <v>-4.0318399336429347E-2</v>
      </c>
      <c r="R20" s="51">
        <f t="shared" si="112"/>
        <v>-0.15265585666347403</v>
      </c>
      <c r="S20" s="51">
        <f t="shared" si="112"/>
        <v>0.10248483902594792</v>
      </c>
      <c r="T20" s="51">
        <f t="shared" si="112"/>
        <v>-1.4200322875759838E-2</v>
      </c>
      <c r="U20" s="51">
        <f t="shared" si="112"/>
        <v>0.11442075581213203</v>
      </c>
      <c r="V20" s="51">
        <f t="shared" si="112"/>
        <v>3.3082410562327073E-2</v>
      </c>
      <c r="W20" s="51">
        <f t="shared" si="112"/>
        <v>-0.32489680037980417</v>
      </c>
      <c r="X20" s="51">
        <f t="shared" si="112"/>
        <v>5.0964423109210559E-2</v>
      </c>
      <c r="Y20" s="51">
        <f t="shared" si="112"/>
        <v>-0.13762867782727667</v>
      </c>
      <c r="Z20" s="51">
        <f t="shared" si="112"/>
        <v>-0.2318095671063726</v>
      </c>
      <c r="AA20" s="51">
        <f t="shared" si="112"/>
        <v>0.29025466205393508</v>
      </c>
      <c r="AB20" s="51">
        <f t="shared" si="112"/>
        <v>8.3651729482788345E-3</v>
      </c>
      <c r="AC20" s="51">
        <f t="shared" si="112"/>
        <v>-0.17579204792670797</v>
      </c>
      <c r="AD20" s="51">
        <f t="shared" si="112"/>
        <v>-0.17259877525779768</v>
      </c>
      <c r="AE20" s="51">
        <f t="shared" si="112"/>
        <v>-9.7069756929661313E-2</v>
      </c>
      <c r="AF20" s="51">
        <f t="shared" si="112"/>
        <v>-9.6150475506779229E-2</v>
      </c>
      <c r="AG20" s="51">
        <f t="shared" si="112"/>
        <v>-1.9535888044775102E-2</v>
      </c>
      <c r="AH20" s="51">
        <f t="shared" si="112"/>
        <v>-0.18345986185775032</v>
      </c>
      <c r="AI20" s="51">
        <f t="shared" ref="AI20:BR20" si="113">(AI16-AI6)/AI6</f>
        <v>-0.10628504920852261</v>
      </c>
      <c r="AJ20" s="51">
        <f t="shared" si="113"/>
        <v>-0.13010762905968593</v>
      </c>
      <c r="AK20" s="51">
        <f t="shared" si="113"/>
        <v>-0.10022821657146827</v>
      </c>
      <c r="AL20" s="51">
        <f t="shared" si="113"/>
        <v>-7.5531701071140364E-2</v>
      </c>
      <c r="AM20" s="51">
        <f t="shared" si="113"/>
        <v>-4.4272091012470802E-2</v>
      </c>
      <c r="AN20" s="51">
        <f t="shared" si="113"/>
        <v>-0.24221997245646326</v>
      </c>
      <c r="AO20" s="51">
        <f t="shared" si="113"/>
        <v>9.9151945575035538E-2</v>
      </c>
      <c r="AP20" s="51">
        <f t="shared" si="113"/>
        <v>-0.22231490146124872</v>
      </c>
      <c r="AQ20" s="51">
        <f t="shared" si="113"/>
        <v>-2.2707542889600918E-2</v>
      </c>
      <c r="AR20" s="51">
        <f t="shared" si="113"/>
        <v>-0.10401172503841796</v>
      </c>
      <c r="AS20" s="51">
        <f t="shared" si="113"/>
        <v>7.3362097592058417E-2</v>
      </c>
      <c r="AT20" s="51">
        <f t="shared" si="113"/>
        <v>-0.43255888130568287</v>
      </c>
      <c r="AU20" s="51">
        <f t="shared" si="113"/>
        <v>6.4485240226047638E-2</v>
      </c>
      <c r="AV20" s="51">
        <f t="shared" si="113"/>
        <v>6.4894047441323807E-2</v>
      </c>
      <c r="AW20" s="51">
        <f t="shared" si="113"/>
        <v>0.12392609257152401</v>
      </c>
      <c r="AX20" s="51">
        <f t="shared" si="113"/>
        <v>-0.18375725560101094</v>
      </c>
      <c r="AY20" s="51">
        <f t="shared" si="113"/>
        <v>0.12363269682878844</v>
      </c>
      <c r="AZ20" s="51">
        <f t="shared" si="113"/>
        <v>-0.19442861952666207</v>
      </c>
      <c r="BA20" s="51">
        <f t="shared" si="113"/>
        <v>-5.0747750467697493E-2</v>
      </c>
      <c r="BB20" s="51">
        <f t="shared" si="113"/>
        <v>-0.14063538098435946</v>
      </c>
      <c r="BC20" s="51">
        <f t="shared" si="113"/>
        <v>-4.988802737311783E-2</v>
      </c>
      <c r="BD20" s="51">
        <f t="shared" si="113"/>
        <v>-6.759324844255446E-2</v>
      </c>
      <c r="BE20" s="51">
        <f t="shared" si="113"/>
        <v>-0.26176167965524821</v>
      </c>
      <c r="BF20" s="51">
        <f t="shared" si="113"/>
        <v>-0.25467035582682546</v>
      </c>
      <c r="BG20" s="51">
        <f t="shared" si="113"/>
        <v>-8.5331354889427918E-2</v>
      </c>
      <c r="BH20" s="51">
        <f t="shared" si="113"/>
        <v>6.0088086807675002E-2</v>
      </c>
      <c r="BI20" s="51">
        <f t="shared" si="113"/>
        <v>-0.29542986945432748</v>
      </c>
      <c r="BJ20" s="51">
        <f t="shared" si="113"/>
        <v>-2.9718971454031441E-2</v>
      </c>
      <c r="BK20" s="51">
        <f t="shared" si="113"/>
        <v>-0.135041402392027</v>
      </c>
      <c r="BL20" s="51">
        <f t="shared" si="113"/>
        <v>-7.087684087342663E-3</v>
      </c>
      <c r="BM20" s="51">
        <f t="shared" si="113"/>
        <v>-8.9682592426324037E-2</v>
      </c>
      <c r="BN20" s="51">
        <f t="shared" si="113"/>
        <v>-0.17899385432243853</v>
      </c>
      <c r="BO20" s="51">
        <f t="shared" si="113"/>
        <v>-3.3957402797100474E-2</v>
      </c>
      <c r="BP20" s="51">
        <f t="shared" si="113"/>
        <v>-0.11774691642120766</v>
      </c>
      <c r="BQ20" s="51">
        <f t="shared" si="113"/>
        <v>-0.14774511191530773</v>
      </c>
      <c r="BR20" s="51">
        <f t="shared" si="113"/>
        <v>-0.27927623903203985</v>
      </c>
    </row>
    <row r="21" spans="1:70" ht="15" customHeight="1" x14ac:dyDescent="0.3">
      <c r="A21" s="52" t="s">
        <v>480</v>
      </c>
      <c r="B21" s="53"/>
      <c r="C21" s="53">
        <f t="shared" ref="C21:AH21" si="114">IFERROR(C8-C9+C13-C11,"")</f>
        <v>-1587.4426010000006</v>
      </c>
      <c r="D21" s="53">
        <f t="shared" si="114"/>
        <v>-1730.3147270000004</v>
      </c>
      <c r="E21" s="53">
        <f t="shared" si="114"/>
        <v>-1568.9883519999998</v>
      </c>
      <c r="F21" s="53">
        <f t="shared" si="114"/>
        <v>-1099.4007530000008</v>
      </c>
      <c r="G21" s="53">
        <f t="shared" si="114"/>
        <v>-468.22037200000068</v>
      </c>
      <c r="H21" s="53">
        <f t="shared" si="114"/>
        <v>-1580.1978569999997</v>
      </c>
      <c r="I21" s="53">
        <f t="shared" si="114"/>
        <v>-1550.9601340000006</v>
      </c>
      <c r="J21" s="53">
        <f t="shared" si="114"/>
        <v>-742.40292700000009</v>
      </c>
      <c r="K21" s="53">
        <f t="shared" si="114"/>
        <v>-1035.3352589999997</v>
      </c>
      <c r="L21" s="53">
        <f t="shared" si="114"/>
        <v>-1619.9010930899999</v>
      </c>
      <c r="M21" s="53">
        <f t="shared" si="114"/>
        <v>-1326.0213919999997</v>
      </c>
      <c r="N21" s="53">
        <f t="shared" si="114"/>
        <v>-613.33677420999993</v>
      </c>
      <c r="O21" s="53">
        <f t="shared" si="114"/>
        <v>-902.14367600000014</v>
      </c>
      <c r="P21" s="53">
        <f t="shared" si="114"/>
        <v>-313.73696052999958</v>
      </c>
      <c r="Q21" s="53">
        <f t="shared" si="114"/>
        <v>-490.61856699999998</v>
      </c>
      <c r="R21" s="53">
        <f t="shared" si="114"/>
        <v>-714.12313900000004</v>
      </c>
      <c r="S21" s="53">
        <f t="shared" si="114"/>
        <v>-610.05177850999985</v>
      </c>
      <c r="T21" s="53">
        <f t="shared" si="114"/>
        <v>-508.946596</v>
      </c>
      <c r="U21" s="53">
        <f t="shared" si="114"/>
        <v>-656.95518779999998</v>
      </c>
      <c r="V21" s="53">
        <f t="shared" si="114"/>
        <v>-598.08986216999961</v>
      </c>
      <c r="W21" s="53">
        <f t="shared" si="114"/>
        <v>-1649.2451246666669</v>
      </c>
      <c r="X21" s="53">
        <f t="shared" si="114"/>
        <v>-155.14430942666786</v>
      </c>
      <c r="Y21" s="53">
        <f t="shared" si="114"/>
        <v>-1147.7280079366665</v>
      </c>
      <c r="Z21" s="53">
        <f t="shared" si="114"/>
        <v>-1362.0928736666665</v>
      </c>
      <c r="AA21" s="53">
        <f t="shared" si="114"/>
        <v>-186.84343571666659</v>
      </c>
      <c r="AB21" s="53">
        <f t="shared" si="114"/>
        <v>-410.58893548666765</v>
      </c>
      <c r="AC21" s="53">
        <f t="shared" si="114"/>
        <v>-1107.9011616666669</v>
      </c>
      <c r="AD21" s="53">
        <f t="shared" si="114"/>
        <v>-1131.8270146666666</v>
      </c>
      <c r="AE21" s="53">
        <f t="shared" si="114"/>
        <v>-990.48319211966691</v>
      </c>
      <c r="AF21" s="53">
        <f t="shared" si="114"/>
        <v>-1174.9211716666669</v>
      </c>
      <c r="AG21" s="53">
        <f t="shared" si="114"/>
        <v>-456.4823816666667</v>
      </c>
      <c r="AH21" s="53">
        <f t="shared" si="114"/>
        <v>-905.71863966666683</v>
      </c>
      <c r="AI21" s="53">
        <f t="shared" ref="AI21:BR21" si="115">IFERROR(AI8-AI9+AI13-AI11,"")</f>
        <v>-862.89212500000031</v>
      </c>
      <c r="AJ21" s="53">
        <f t="shared" si="115"/>
        <v>-1177.8479617599999</v>
      </c>
      <c r="AK21" s="53">
        <f t="shared" si="115"/>
        <v>-731.46026000000029</v>
      </c>
      <c r="AL21" s="53">
        <f t="shared" si="115"/>
        <v>-942.75857150000002</v>
      </c>
      <c r="AM21" s="53">
        <f t="shared" si="115"/>
        <v>-1136.5830710000002</v>
      </c>
      <c r="AN21" s="53">
        <f t="shared" si="115"/>
        <v>-1334.00913044</v>
      </c>
      <c r="AO21" s="53">
        <f t="shared" si="115"/>
        <v>-1022.6198869999998</v>
      </c>
      <c r="AP21" s="53">
        <f t="shared" si="115"/>
        <v>-1538.4572553999997</v>
      </c>
      <c r="AQ21" s="53">
        <f t="shared" si="115"/>
        <v>-1205.8662244700001</v>
      </c>
      <c r="AR21" s="53">
        <f t="shared" si="115"/>
        <v>-815.30518957000004</v>
      </c>
      <c r="AS21" s="53">
        <f t="shared" si="115"/>
        <v>-592.65763799999991</v>
      </c>
      <c r="AT21" s="53">
        <f t="shared" si="115"/>
        <v>-1361.879778</v>
      </c>
      <c r="AU21" s="53">
        <f t="shared" si="115"/>
        <v>-1437.324719</v>
      </c>
      <c r="AV21" s="53">
        <f t="shared" si="115"/>
        <v>-835.83832099999995</v>
      </c>
      <c r="AW21" s="53">
        <f t="shared" si="115"/>
        <v>-543.26906400000007</v>
      </c>
      <c r="AX21" s="53">
        <f t="shared" si="115"/>
        <v>-1182.1017399999998</v>
      </c>
      <c r="AY21" s="53">
        <f t="shared" si="115"/>
        <v>-732.48343099999965</v>
      </c>
      <c r="AZ21" s="53">
        <f t="shared" si="115"/>
        <v>-958.35699700000032</v>
      </c>
      <c r="BA21" s="53">
        <f t="shared" si="115"/>
        <v>-847.62909300000001</v>
      </c>
      <c r="BB21" s="53">
        <f t="shared" si="115"/>
        <v>-1122.2628999999997</v>
      </c>
      <c r="BC21" s="53">
        <f t="shared" si="115"/>
        <v>-1128.472336</v>
      </c>
      <c r="BD21" s="53">
        <f t="shared" si="115"/>
        <v>-1463.3</v>
      </c>
      <c r="BE21" s="53">
        <f t="shared" si="115"/>
        <v>-1539.05</v>
      </c>
      <c r="BF21" s="53">
        <f t="shared" si="115"/>
        <v>-1447.65</v>
      </c>
      <c r="BG21" s="53">
        <f t="shared" si="115"/>
        <v>-1601.55</v>
      </c>
      <c r="BH21" s="53">
        <f t="shared" si="115"/>
        <v>-243.40000000000009</v>
      </c>
      <c r="BI21" s="53">
        <f t="shared" si="115"/>
        <v>-1622.55</v>
      </c>
      <c r="BJ21" s="53">
        <f t="shared" si="115"/>
        <v>-854.7</v>
      </c>
      <c r="BK21" s="53">
        <f t="shared" si="115"/>
        <v>-1219.8</v>
      </c>
      <c r="BL21" s="53">
        <f t="shared" si="115"/>
        <v>-691.95</v>
      </c>
      <c r="BM21" s="53">
        <f t="shared" si="115"/>
        <v>-1013.2</v>
      </c>
      <c r="BN21" s="53">
        <f t="shared" si="115"/>
        <v>-1306.9000000000001</v>
      </c>
      <c r="BO21" s="53">
        <f t="shared" si="115"/>
        <v>-1032.7</v>
      </c>
      <c r="BP21" s="53">
        <f t="shared" si="115"/>
        <v>-1127.3</v>
      </c>
      <c r="BQ21" s="53">
        <f t="shared" si="115"/>
        <v>-1332.05</v>
      </c>
      <c r="BR21" s="53">
        <f t="shared" si="115"/>
        <v>-1588.65</v>
      </c>
    </row>
    <row r="22" spans="1:70" ht="15" customHeight="1" x14ac:dyDescent="0.3">
      <c r="A22" s="54" t="s">
        <v>481</v>
      </c>
    </row>
    <row r="23" spans="1:70" ht="15" customHeight="1" x14ac:dyDescent="0.3">
      <c r="A23" s="55" t="s">
        <v>482</v>
      </c>
      <c r="C23" s="56" t="s">
        <v>186</v>
      </c>
      <c r="D23" s="57" t="s">
        <v>483</v>
      </c>
    </row>
    <row r="24" spans="1:70" ht="15" customHeight="1" x14ac:dyDescent="0.3">
      <c r="A24" s="58" t="s">
        <v>469</v>
      </c>
      <c r="B24" s="59">
        <v>1700</v>
      </c>
      <c r="D24" s="60" t="s">
        <v>484</v>
      </c>
      <c r="E24" s="59">
        <v>23000</v>
      </c>
    </row>
    <row r="25" spans="1:70" ht="15" customHeight="1" x14ac:dyDescent="0.3">
      <c r="A25" s="58" t="s">
        <v>470</v>
      </c>
      <c r="B25" s="59">
        <v>610</v>
      </c>
      <c r="D25" s="60" t="s">
        <v>485</v>
      </c>
      <c r="E25" s="61">
        <v>0.15</v>
      </c>
    </row>
    <row r="26" spans="1:70" ht="15" customHeight="1" x14ac:dyDescent="0.3">
      <c r="A26" s="58" t="s">
        <v>473</v>
      </c>
      <c r="B26" s="59">
        <v>700</v>
      </c>
      <c r="D26" s="60" t="s">
        <v>486</v>
      </c>
      <c r="E26" s="61">
        <v>0.5</v>
      </c>
    </row>
    <row r="27" spans="1:70" ht="15" customHeight="1" x14ac:dyDescent="0.3">
      <c r="A27" s="58" t="s">
        <v>487</v>
      </c>
      <c r="B27" s="59">
        <v>2500</v>
      </c>
    </row>
    <row r="28" spans="1:70" ht="15" customHeight="1" x14ac:dyDescent="0.3">
      <c r="A28" s="58" t="s">
        <v>488</v>
      </c>
      <c r="B28" s="59">
        <v>1400</v>
      </c>
    </row>
    <row r="29" spans="1:70" ht="15" customHeight="1" x14ac:dyDescent="0.3">
      <c r="A29" s="55" t="s">
        <v>489</v>
      </c>
    </row>
    <row r="30" spans="1:70" ht="15" customHeight="1" x14ac:dyDescent="0.3">
      <c r="C30" s="62" t="s">
        <v>186</v>
      </c>
      <c r="D30" s="62" t="s">
        <v>187</v>
      </c>
      <c r="E30" s="62" t="s">
        <v>188</v>
      </c>
      <c r="F30" s="62" t="s">
        <v>189</v>
      </c>
      <c r="G30" s="62" t="s">
        <v>190</v>
      </c>
      <c r="H30" s="62" t="s">
        <v>191</v>
      </c>
      <c r="I30" s="62" t="s">
        <v>192</v>
      </c>
      <c r="J30" s="62" t="s">
        <v>193</v>
      </c>
      <c r="K30" s="62" t="s">
        <v>194</v>
      </c>
      <c r="L30" s="62" t="s">
        <v>195</v>
      </c>
      <c r="M30" s="62" t="s">
        <v>196</v>
      </c>
      <c r="N30" s="62" t="s">
        <v>197</v>
      </c>
    </row>
    <row r="31" spans="1:70" ht="15" customHeight="1" x14ac:dyDescent="0.3">
      <c r="A31" s="58" t="s">
        <v>469</v>
      </c>
      <c r="B31" s="63" t="s">
        <v>490</v>
      </c>
      <c r="C31" s="64">
        <f>IFERROR(ROUND((SUMPRODUCT((MID('Singapore Strait monthly import'!$A$3:$A$65,6,2)="01")*(LEFT('Singapore Strait monthly import'!$A$3:$A$65,4)&gt;="2022")*(LEFT('Singapore Strait monthly import'!$A$3:$A$65,4)&lt;="2025")*('Singapore Strait monthly import'!$B$3:$B$65))/SUMPRODUCT((MID('Singapore Strait monthly import'!$A$3:$A$65,6,2)="01")*(LEFT('Singapore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import'!$B$3:$B$65&lt;&gt;0)*1)),3),0.856)</f>
        <v>0.85599999999999998</v>
      </c>
      <c r="D31" s="64">
        <f>IFERROR(ROUND((SUMPRODUCT((MID('Singapore Strait monthly import'!$A$3:$A$65,6,2)="02")*(LEFT('Singapore Strait monthly import'!$A$3:$A$65,4)&gt;="2022")*(LEFT('Singapore Strait monthly import'!$A$3:$A$65,4)&lt;="2025")*('Singapore Strait monthly import'!$B$3:$B$65))/SUMPRODUCT((MID('Singapore Strait monthly import'!$A$3:$A$65,6,2)="02")*(LEFT('Singapore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import'!$B$3:$B$65&lt;&gt;0)*1)),3),1.075)</f>
        <v>1.075</v>
      </c>
      <c r="E31" s="64">
        <f>IFERROR(ROUND((SUMPRODUCT((MID('Singapore Strait monthly import'!$A$3:$A$65,6,2)="03")*(LEFT('Singapore Strait monthly import'!$A$3:$A$65,4)&gt;="2022")*(LEFT('Singapore Strait monthly import'!$A$3:$A$65,4)&lt;="2025")*('Singapore Strait monthly import'!$B$3:$B$65))/SUMPRODUCT((MID('Singapore Strait monthly import'!$A$3:$A$65,6,2)="03")*(LEFT('Singapore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import'!$B$3:$B$65&lt;&gt;0)*1)),3),0.865)</f>
        <v>0.86499999999999999</v>
      </c>
      <c r="F31" s="64">
        <f>IFERROR(ROUND((SUMPRODUCT((MID('Singapore Strait monthly import'!$A$3:$A$65,6,2)="04")*(LEFT('Singapore Strait monthly import'!$A$3:$A$65,4)&gt;="2022")*(LEFT('Singapore Strait monthly import'!$A$3:$A$65,4)&lt;="2025")*('Singapore Strait monthly import'!$B$3:$B$65))/SUMPRODUCT((MID('Singapore Strait monthly import'!$A$3:$A$65,6,2)="04")*(LEFT('Singapore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import'!$B$3:$B$65&lt;&gt;0)*1)),3),0.99)</f>
        <v>0.99</v>
      </c>
      <c r="G31" s="64">
        <f>IFERROR(ROUND((SUMPRODUCT((MID('Singapore Strait monthly import'!$A$3:$A$65,6,2)="05")*(LEFT('Singapore Strait monthly import'!$A$3:$A$65,4)&gt;="2022")*(LEFT('Singapore Strait monthly import'!$A$3:$A$65,4)&lt;="2025")*('Singapore Strait monthly import'!$B$3:$B$65))/SUMPRODUCT((MID('Singapore Strait monthly import'!$A$3:$A$65,6,2)="05")*(LEFT('Singapore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import'!$B$3:$B$65&lt;&gt;0)*1)),3),1.011)</f>
        <v>1.0109999999999999</v>
      </c>
      <c r="H31" s="64">
        <f>IFERROR(ROUND((SUMPRODUCT((MID('Singapore Strait monthly import'!$A$3:$A$65,6,2)="06")*(LEFT('Singapore Strait monthly import'!$A$3:$A$65,4)&gt;="2022")*(LEFT('Singapore Strait monthly import'!$A$3:$A$65,4)&lt;="2025")*('Singapore Strait monthly import'!$B$3:$B$65))/SUMPRODUCT((MID('Singapore Strait monthly import'!$A$3:$A$65,6,2)="06")*(LEFT('Singapore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import'!$B$3:$B$65&lt;&gt;0)*1)),3),1.145)</f>
        <v>1.145</v>
      </c>
      <c r="I31" s="64">
        <f>IFERROR(ROUND((SUMPRODUCT((MID('Singapore Strait monthly import'!$A$3:$A$65,6,2)="07")*(LEFT('Singapore Strait monthly import'!$A$3:$A$65,4)&gt;="2022")*(LEFT('Singapore Strait monthly import'!$A$3:$A$65,4)&lt;="2025")*('Singapore Strait monthly import'!$B$3:$B$65))/SUMPRODUCT((MID('Singapore Strait monthly import'!$A$3:$A$65,6,2)="07")*(LEFT('Singapore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import'!$B$3:$B$65&lt;&gt;0)*1)),3),0.961)</f>
        <v>0.96099999999999997</v>
      </c>
      <c r="J31" s="64">
        <f>IFERROR(ROUND((SUMPRODUCT((MID('Singapore Strait monthly import'!$A$3:$A$65,6,2)="08")*(LEFT('Singapore Strait monthly import'!$A$3:$A$65,4)&gt;="2022")*(LEFT('Singapore Strait monthly import'!$A$3:$A$65,4)&lt;="2025")*('Singapore Strait monthly import'!$B$3:$B$65))/SUMPRODUCT((MID('Singapore Strait monthly import'!$A$3:$A$65,6,2)="08")*(LEFT('Singapore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import'!$B$3:$B$65&lt;&gt;0)*1)),3),0.981)</f>
        <v>0.98099999999999998</v>
      </c>
      <c r="K31" s="64">
        <f>IFERROR(ROUND((SUMPRODUCT((MID('Singapore Strait monthly import'!$A$3:$A$65,6,2)="09")*(LEFT('Singapore Strait monthly import'!$A$3:$A$65,4)&gt;="2022")*(LEFT('Singapore Strait monthly import'!$A$3:$A$65,4)&lt;="2025")*('Singapore Strait monthly import'!$B$3:$B$65))/SUMPRODUCT((MID('Singapore Strait monthly import'!$A$3:$A$65,6,2)="09")*(LEFT('Singapore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import'!$B$3:$B$65&lt;&gt;0)*1)),3),1.018)</f>
        <v>1.018</v>
      </c>
      <c r="L31" s="64">
        <f>IFERROR(ROUND((SUMPRODUCT((MID('Singapore Strait monthly import'!$A$3:$A$65,6,2)="10")*(LEFT('Singapore Strait monthly import'!$A$3:$A$65,4)&gt;="2022")*(LEFT('Singapore Strait monthly import'!$A$3:$A$65,4)&lt;="2025")*('Singapore Strait monthly import'!$B$3:$B$65))/SUMPRODUCT((MID('Singapore Strait monthly import'!$A$3:$A$65,6,2)="10")*(LEFT('Singapore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import'!$B$3:$B$65&lt;&gt;0)*1)),3),1.079)</f>
        <v>1.079</v>
      </c>
      <c r="M31" s="64">
        <f>IFERROR(ROUND((SUMPRODUCT((MID('Singapore Strait monthly import'!$A$3:$A$65,6,2)="11")*(LEFT('Singapore Strait monthly import'!$A$3:$A$65,4)&gt;="2022")*(LEFT('Singapore Strait monthly import'!$A$3:$A$65,4)&lt;="2025")*('Singapore Strait monthly import'!$B$3:$B$65))/SUMPRODUCT((MID('Singapore Strait monthly import'!$A$3:$A$65,6,2)="11")*(LEFT('Singapore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import'!$B$3:$B$65&lt;&gt;0)*1)),3),0.979)</f>
        <v>0.97899999999999998</v>
      </c>
      <c r="N31" s="64">
        <f>IFERROR(ROUND((SUMPRODUCT((MID('Singapore Strait monthly import'!$A$3:$A$65,6,2)="12")*(LEFT('Singapore Strait monthly import'!$A$3:$A$65,4)&gt;="2022")*(LEFT('Singapore Strait monthly import'!$A$3:$A$65,4)&lt;="2025")*('Singapore Strait monthly import'!$B$3:$B$65))/SUMPRODUCT((MID('Singapore Strait monthly import'!$A$3:$A$65,6,2)="12")*(LEFT('Singapore Strait monthly import'!$A$3:$A$65,4)&gt;="2022")*(LEFT('Singapore Strait monthly import'!$A$3:$A$65,4)&lt;="2025")*('Singapore Strait monthly import'!$B$3:$B$65&lt;&gt;0)*1))/(SUMPRODUCT((LEFT('Singapore Strait monthly import'!$A$3:$A$65,4)&gt;="2022")*(LEFT('Singapore Strait monthly import'!$A$3:$A$65,4)&lt;="2025")*('Singapore Strait monthly import'!$B$3:$B$65))/SUMPRODUCT((LEFT('Singapore Strait monthly import'!$A$3:$A$65,4)&gt;="2022")*(LEFT('Singapore Strait monthly import'!$A$3:$A$65,4)&lt;="2025")*('Singapore Strait monthly import'!$B$3:$B$65&lt;&gt;0)*1)),3),1.04)</f>
        <v>1.04</v>
      </c>
    </row>
    <row r="32" spans="1:70" ht="15" customHeight="1" x14ac:dyDescent="0.3">
      <c r="A32" s="58" t="s">
        <v>470</v>
      </c>
      <c r="B32" s="63" t="s">
        <v>490</v>
      </c>
      <c r="C32" s="64">
        <f>IFERROR(ROUND((SUMPRODUCT((MID('Singapore Strait exports'!$A$2:$A$65,6,2)="01")*(LEFT('Singapore Strait exports'!$A$2:$A$65,4)&gt;="2022")*(LEFT('Singapore Strait exports'!$A$2:$A$65,4)&lt;="2025")*('Singapore Strait exports'!$B$2:$B$65))/SUMPRODUCT((MID('Singapore Strait exports'!$A$2:$A$65,6,2)="01")*(LEFT('Singapore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exports'!$B$2:$B$65&lt;&gt;0)*1)),3),1.135)</f>
        <v>1.135</v>
      </c>
      <c r="D32" s="64">
        <f>IFERROR(ROUND((SUMPRODUCT((MID('Singapore Strait exports'!$A$2:$A$65,6,2)="02")*(LEFT('Singapore Strait exports'!$A$2:$A$65,4)&gt;="2022")*(LEFT('Singapore Strait exports'!$A$2:$A$65,4)&lt;="2025")*('Singapore Strait exports'!$B$2:$B$65))/SUMPRODUCT((MID('Singapore Strait exports'!$A$2:$A$65,6,2)="02")*(LEFT('Singapore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exports'!$B$2:$B$65&lt;&gt;0)*1)),3),0.848)</f>
        <v>0.84799999999999998</v>
      </c>
      <c r="E32" s="64">
        <f>IFERROR(ROUND((SUMPRODUCT((MID('Singapore Strait exports'!$A$2:$A$65,6,2)="03")*(LEFT('Singapore Strait exports'!$A$2:$A$65,4)&gt;="2022")*(LEFT('Singapore Strait exports'!$A$2:$A$65,4)&lt;="2025")*('Singapore Strait exports'!$B$2:$B$65))/SUMPRODUCT((MID('Singapore Strait exports'!$A$2:$A$65,6,2)="03")*(LEFT('Singapore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exports'!$B$2:$B$65&lt;&gt;0)*1)),3),1.014)</f>
        <v>1.014</v>
      </c>
      <c r="F32" s="64">
        <f>IFERROR(ROUND((SUMPRODUCT((MID('Singapore Strait exports'!$A$2:$A$65,6,2)="04")*(LEFT('Singapore Strait exports'!$A$2:$A$65,4)&gt;="2022")*(LEFT('Singapore Strait exports'!$A$2:$A$65,4)&lt;="2025")*('Singapore Strait exports'!$B$2:$B$65))/SUMPRODUCT((MID('Singapore Strait exports'!$A$2:$A$65,6,2)="04")*(LEFT('Singapore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exports'!$B$2:$B$65&lt;&gt;0)*1)),3),0.857)</f>
        <v>0.85699999999999998</v>
      </c>
      <c r="G32" s="64">
        <f>IFERROR(ROUND((SUMPRODUCT((MID('Singapore Strait exports'!$A$2:$A$65,6,2)="05")*(LEFT('Singapore Strait exports'!$A$2:$A$65,4)&gt;="2022")*(LEFT('Singapore Strait exports'!$A$2:$A$65,4)&lt;="2025")*('Singapore Strait exports'!$B$2:$B$65))/SUMPRODUCT((MID('Singapore Strait exports'!$A$2:$A$65,6,2)="05")*(LEFT('Singapore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exports'!$B$2:$B$65&lt;&gt;0)*1)),3),0.914)</f>
        <v>0.91400000000000003</v>
      </c>
      <c r="H32" s="64">
        <f>IFERROR(ROUND((SUMPRODUCT((MID('Singapore Strait exports'!$A$2:$A$65,6,2)="06")*(LEFT('Singapore Strait exports'!$A$2:$A$65,4)&gt;="2022")*(LEFT('Singapore Strait exports'!$A$2:$A$65,4)&lt;="2025")*('Singapore Strait exports'!$B$2:$B$65))/SUMPRODUCT((MID('Singapore Strait exports'!$A$2:$A$65,6,2)="06")*(LEFT('Singapore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exports'!$B$2:$B$65&lt;&gt;0)*1)),3),0.851)</f>
        <v>0.85099999999999998</v>
      </c>
      <c r="I32" s="64">
        <f>IFERROR(ROUND((SUMPRODUCT((MID('Singapore Strait exports'!$A$2:$A$65,6,2)="07")*(LEFT('Singapore Strait exports'!$A$2:$A$65,4)&gt;="2022")*(LEFT('Singapore Strait exports'!$A$2:$A$65,4)&lt;="2025")*('Singapore Strait exports'!$B$2:$B$65))/SUMPRODUCT((MID('Singapore Strait exports'!$A$2:$A$65,6,2)="07")*(LEFT('Singapore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exports'!$B$2:$B$65&lt;&gt;0)*1)),3),0.836)</f>
        <v>0.83599999999999997</v>
      </c>
      <c r="J32" s="64">
        <f>IFERROR(ROUND((SUMPRODUCT((MID('Singapore Strait exports'!$A$2:$A$65,6,2)="08")*(LEFT('Singapore Strait exports'!$A$2:$A$65,4)&gt;="2022")*(LEFT('Singapore Strait exports'!$A$2:$A$65,4)&lt;="2025")*('Singapore Strait exports'!$B$2:$B$65))/SUMPRODUCT((MID('Singapore Strait exports'!$A$2:$A$65,6,2)="08")*(LEFT('Singapore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exports'!$B$2:$B$65&lt;&gt;0)*1)),3),1.119)</f>
        <v>1.119</v>
      </c>
      <c r="K32" s="64">
        <f>IFERROR(ROUND((SUMPRODUCT((MID('Singapore Strait exports'!$A$2:$A$65,6,2)="09")*(LEFT('Singapore Strait exports'!$A$2:$A$65,4)&gt;="2022")*(LEFT('Singapore Strait exports'!$A$2:$A$65,4)&lt;="2025")*('Singapore Strait exports'!$B$2:$B$65))/SUMPRODUCT((MID('Singapore Strait exports'!$A$2:$A$65,6,2)="09")*(LEFT('Singapore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exports'!$B$2:$B$65&lt;&gt;0)*1)),3),1.027)</f>
        <v>1.0269999999999999</v>
      </c>
      <c r="L32" s="64">
        <f>IFERROR(ROUND((SUMPRODUCT((MID('Singapore Strait exports'!$A$2:$A$65,6,2)="10")*(LEFT('Singapore Strait exports'!$A$2:$A$65,4)&gt;="2022")*(LEFT('Singapore Strait exports'!$A$2:$A$65,4)&lt;="2025")*('Singapore Strait exports'!$B$2:$B$65))/SUMPRODUCT((MID('Singapore Strait exports'!$A$2:$A$65,6,2)="10")*(LEFT('Singapore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exports'!$B$2:$B$65&lt;&gt;0)*1)),3),1.18)</f>
        <v>1.18</v>
      </c>
      <c r="M32" s="64">
        <f>IFERROR(ROUND((SUMPRODUCT((MID('Singapore Strait exports'!$A$2:$A$65,6,2)="11")*(LEFT('Singapore Strait exports'!$A$2:$A$65,4)&gt;="2022")*(LEFT('Singapore Strait exports'!$A$2:$A$65,4)&lt;="2025")*('Singapore Strait exports'!$B$2:$B$65))/SUMPRODUCT((MID('Singapore Strait exports'!$A$2:$A$65,6,2)="11")*(LEFT('Singapore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exports'!$B$2:$B$65&lt;&gt;0)*1)),3),1.099)</f>
        <v>1.099</v>
      </c>
      <c r="N32" s="64">
        <f>IFERROR(ROUND((SUMPRODUCT((MID('Singapore Strait exports'!$A$2:$A$65,6,2)="12")*(LEFT('Singapore Strait exports'!$A$2:$A$65,4)&gt;="2022")*(LEFT('Singapore Strait exports'!$A$2:$A$65,4)&lt;="2025")*('Singapore Strait exports'!$B$2:$B$65))/SUMPRODUCT((MID('Singapore Strait exports'!$A$2:$A$65,6,2)="12")*(LEFT('Singapore Strait exports'!$A$2:$A$65,4)&gt;="2022")*(LEFT('Singapore Strait exports'!$A$2:$A$65,4)&lt;="2025")*('Singapore Strait exports'!$B$2:$B$65&lt;&gt;0)*1))/(SUMPRODUCT((LEFT('Singapore Strait exports'!$A$2:$A$65,4)&gt;="2022")*(LEFT('Singapore Strait exports'!$A$2:$A$65,4)&lt;="2025")*('Singapore Strait exports'!$B$2:$B$65))/SUMPRODUCT((LEFT('Singapore Strait exports'!$A$2:$A$65,4)&gt;="2022")*(LEFT('Singapore Strait exports'!$A$2:$A$65,4)&lt;="2025")*('Singapore Strait exports'!$B$2:$B$65&lt;&gt;0)*1)),3),1.12)</f>
        <v>1.1200000000000001</v>
      </c>
    </row>
    <row r="33" spans="1:14" ht="15" customHeight="1" x14ac:dyDescent="0.3">
      <c r="A33" s="58" t="s">
        <v>473</v>
      </c>
      <c r="B33" s="63" t="s">
        <v>490</v>
      </c>
      <c r="C33" s="64">
        <f>IFERROR(ROUND((SUMPRODUCT((MID('Crude Imports'!$A$2:$A$65,6,2)="01")*(LEFT('Crude Imports'!$A$2:$A$65,4)&gt;="2022")*(LEFT('Crude Imports'!$A$2:$A$65,4)&lt;="2025")*('Crude Imports'!$B$2:$B$65))/SUMPRODUCT((MID('Crude Imports'!$A$2:$A$65,6,2)="01")*(LEFT('Crude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Imports'!$B$2:$B$65&lt;&gt;0)*1)),3),0.9)</f>
        <v>0.9</v>
      </c>
      <c r="D33" s="64">
        <f>IFERROR(ROUND((SUMPRODUCT((MID('Crude Imports'!$A$2:$A$65,6,2)="02")*(LEFT('Crude Imports'!$A$2:$A$65,4)&gt;="2022")*(LEFT('Crude Imports'!$A$2:$A$65,4)&lt;="2025")*('Crude Imports'!$B$2:$B$65))/SUMPRODUCT((MID('Crude Imports'!$A$2:$A$65,6,2)="02")*(LEFT('Crude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Imports'!$B$2:$B$65&lt;&gt;0)*1)),3),0.858)</f>
        <v>0.85799999999999998</v>
      </c>
      <c r="E33" s="64">
        <f>IFERROR(ROUND((SUMPRODUCT((MID('Crude Imports'!$A$2:$A$65,6,2)="03")*(LEFT('Crude Imports'!$A$2:$A$65,4)&gt;="2022")*(LEFT('Crude Imports'!$A$2:$A$65,4)&lt;="2025")*('Crude Imports'!$B$2:$B$65))/SUMPRODUCT((MID('Crude Imports'!$A$2:$A$65,6,2)="03")*(LEFT('Crude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Imports'!$B$2:$B$65&lt;&gt;0)*1)),3),0.863)</f>
        <v>0.86299999999999999</v>
      </c>
      <c r="F33" s="64">
        <f>IFERROR(ROUND((SUMPRODUCT((MID('Crude Imports'!$A$2:$A$65,6,2)="04")*(LEFT('Crude Imports'!$A$2:$A$65,4)&gt;="2022")*(LEFT('Crude Imports'!$A$2:$A$65,4)&lt;="2025")*('Crude Imports'!$B$2:$B$65))/SUMPRODUCT((MID('Crude Imports'!$A$2:$A$65,6,2)="04")*(LEFT('Crude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Imports'!$B$2:$B$65&lt;&gt;0)*1)),3),1.057)</f>
        <v>1.0569999999999999</v>
      </c>
      <c r="G33" s="64">
        <f>IFERROR(ROUND((SUMPRODUCT((MID('Crude Imports'!$A$2:$A$65,6,2)="05")*(LEFT('Crude Imports'!$A$2:$A$65,4)&gt;="2022")*(LEFT('Crude Imports'!$A$2:$A$65,4)&lt;="2025")*('Crude Imports'!$B$2:$B$65))/SUMPRODUCT((MID('Crude Imports'!$A$2:$A$65,6,2)="05")*(LEFT('Crude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Imports'!$B$2:$B$65&lt;&gt;0)*1)),3),0.886)</f>
        <v>0.88600000000000001</v>
      </c>
      <c r="H33" s="64">
        <f>IFERROR(ROUND((SUMPRODUCT((MID('Crude Imports'!$A$2:$A$65,6,2)="06")*(LEFT('Crude Imports'!$A$2:$A$65,4)&gt;="2022")*(LEFT('Crude Imports'!$A$2:$A$65,4)&lt;="2025")*('Crude Imports'!$B$2:$B$65))/SUMPRODUCT((MID('Crude Imports'!$A$2:$A$65,6,2)="06")*(LEFT('Crude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Imports'!$B$2:$B$65&lt;&gt;0)*1)),3),0.93)</f>
        <v>0.93</v>
      </c>
      <c r="I33" s="64">
        <f>IFERROR(ROUND((SUMPRODUCT((MID('Crude Imports'!$A$2:$A$65,6,2)="07")*(LEFT('Crude Imports'!$A$2:$A$65,4)&gt;="2022")*(LEFT('Crude Imports'!$A$2:$A$65,4)&lt;="2025")*('Crude Imports'!$B$2:$B$65))/SUMPRODUCT((MID('Crude Imports'!$A$2:$A$65,6,2)="07")*(LEFT('Crude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Imports'!$B$2:$B$65&lt;&gt;0)*1)),3),0.924)</f>
        <v>0.92400000000000004</v>
      </c>
      <c r="J33" s="64">
        <f>IFERROR(ROUND((SUMPRODUCT((MID('Crude Imports'!$A$2:$A$65,6,2)="08")*(LEFT('Crude Imports'!$A$2:$A$65,4)&gt;="2022")*(LEFT('Crude Imports'!$A$2:$A$65,4)&lt;="2025")*('Crude Imports'!$B$2:$B$65))/SUMPRODUCT((MID('Crude Imports'!$A$2:$A$65,6,2)="08")*(LEFT('Crude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Imports'!$B$2:$B$65&lt;&gt;0)*1)),3),0.95)</f>
        <v>0.95</v>
      </c>
      <c r="K33" s="64">
        <f>IFERROR(ROUND((SUMPRODUCT((MID('Crude Imports'!$A$2:$A$65,6,2)="09")*(LEFT('Crude Imports'!$A$2:$A$65,4)&gt;="2022")*(LEFT('Crude Imports'!$A$2:$A$65,4)&lt;="2025")*('Crude Imports'!$B$2:$B$65))/SUMPRODUCT((MID('Crude Imports'!$A$2:$A$65,6,2)="09")*(LEFT('Crude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Imports'!$B$2:$B$65&lt;&gt;0)*1)),3),1.28)</f>
        <v>1.28</v>
      </c>
      <c r="L33" s="64">
        <f>IFERROR(ROUND((SUMPRODUCT((MID('Crude Imports'!$A$2:$A$65,6,2)="10")*(LEFT('Crude Imports'!$A$2:$A$65,4)&gt;="2022")*(LEFT('Crude Imports'!$A$2:$A$65,4)&lt;="2025")*('Crude Imports'!$B$2:$B$65))/SUMPRODUCT((MID('Crude Imports'!$A$2:$A$65,6,2)="10")*(LEFT('Crude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Imports'!$B$2:$B$65&lt;&gt;0)*1)),3),1.007)</f>
        <v>1.0069999999999999</v>
      </c>
      <c r="M33" s="64">
        <f>IFERROR(ROUND((SUMPRODUCT((MID('Crude Imports'!$A$2:$A$65,6,2)="11")*(LEFT('Crude Imports'!$A$2:$A$65,4)&gt;="2022")*(LEFT('Crude Imports'!$A$2:$A$65,4)&lt;="2025")*('Crude Imports'!$B$2:$B$65))/SUMPRODUCT((MID('Crude Imports'!$A$2:$A$65,6,2)="11")*(LEFT('Crude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Imports'!$B$2:$B$65&lt;&gt;0)*1)),3),1.16)</f>
        <v>1.1599999999999999</v>
      </c>
      <c r="N33" s="64">
        <f>IFERROR(ROUND((SUMPRODUCT((MID('Crude Imports'!$A$2:$A$65,6,2)="12")*(LEFT('Crude Imports'!$A$2:$A$65,4)&gt;="2022")*(LEFT('Crude Imports'!$A$2:$A$65,4)&lt;="2025")*('Crude Imports'!$B$2:$B$65))/SUMPRODUCT((MID('Crude Imports'!$A$2:$A$65,6,2)="12")*(LEFT('Crude Imports'!$A$2:$A$65,4)&gt;="2022")*(LEFT('Crude Imports'!$A$2:$A$65,4)&lt;="2025")*('Crude Imports'!$B$2:$B$65&lt;&gt;0)*1))/(SUMPRODUCT((LEFT('Crude Imports'!$A$2:$A$65,4)&gt;="2022")*(LEFT('Crude Imports'!$A$2:$A$65,4)&lt;="2025")*('Crude Imports'!$B$2:$B$65))/SUMPRODUCT((LEFT('Crude Imports'!$A$2:$A$65,4)&gt;="2022")*(LEFT('Crude Imports'!$A$2:$A$65,4)&lt;="2025")*('Crude Imports'!$B$2:$B$65&lt;&gt;0)*1)),3),1.186)</f>
        <v>1.1859999999999999</v>
      </c>
    </row>
    <row r="34" spans="1:14" ht="15" customHeight="1" x14ac:dyDescent="0.3">
      <c r="A34" s="58" t="s">
        <v>491</v>
      </c>
      <c r="B34" s="63" t="s">
        <v>490</v>
      </c>
      <c r="C34" s="64">
        <f>IFERROR(ROUND(('Bunker Sales'!K20+'Bunker Sales'!L20)/((AVERAGE('Bunker Sales'!K20:K31)+AVERAGE('Bunker Sales'!L20:L31))),3),1.016)</f>
        <v>1.016</v>
      </c>
      <c r="D34" s="64">
        <f>IFERROR(ROUND(('Bunker Sales'!K21+'Bunker Sales'!L21)/((AVERAGE('Bunker Sales'!K20:K31)+AVERAGE('Bunker Sales'!L20:L31))),3),0.866)</f>
        <v>0.86599999999999999</v>
      </c>
      <c r="E34" s="64">
        <f>IFERROR(ROUND(('Bunker Sales'!K22+'Bunker Sales'!L22)/((AVERAGE('Bunker Sales'!K20:K31)+AVERAGE('Bunker Sales'!L20:L31))),3),0.977)</f>
        <v>0.97699999999999998</v>
      </c>
      <c r="F34" s="64">
        <f>IFERROR(ROUND(('Bunker Sales'!K23+'Bunker Sales'!L23)/((AVERAGE('Bunker Sales'!K20:K31)+AVERAGE('Bunker Sales'!L20:L31))),3),0.931)</f>
        <v>0.93100000000000005</v>
      </c>
      <c r="G34" s="64">
        <f>IFERROR(ROUND(('Bunker Sales'!K24+'Bunker Sales'!L24)/((AVERAGE('Bunker Sales'!K20:K31)+AVERAGE('Bunker Sales'!L20:L31))),3),1.027)</f>
        <v>1.0269999999999999</v>
      </c>
      <c r="H34" s="64">
        <f>IFERROR(ROUND(('Bunker Sales'!K25+'Bunker Sales'!L25)/((AVERAGE('Bunker Sales'!K20:K31)+AVERAGE('Bunker Sales'!L20:L31))),3),0.977)</f>
        <v>0.97699999999999998</v>
      </c>
      <c r="I34" s="64">
        <f>IFERROR(ROUND(('Bunker Sales'!K26+'Bunker Sales'!L26)/((AVERAGE('Bunker Sales'!K20:K31)+AVERAGE('Bunker Sales'!L20:L31))),3),0.988)</f>
        <v>0.98799999999999999</v>
      </c>
      <c r="J34" s="64">
        <f>IFERROR(ROUND(('Bunker Sales'!K27+'Bunker Sales'!L27)/((AVERAGE('Bunker Sales'!K20:K31)+AVERAGE('Bunker Sales'!L20:L31))),3),1.045)</f>
        <v>1.0449999999999999</v>
      </c>
      <c r="K34" s="64">
        <f>IFERROR(ROUND(('Bunker Sales'!K28+'Bunker Sales'!L28)/((AVERAGE('Bunker Sales'!K20:K31)+AVERAGE('Bunker Sales'!L20:L31))),3),0.975)</f>
        <v>0.97499999999999998</v>
      </c>
      <c r="L34" s="64">
        <f>IFERROR(ROUND(('Bunker Sales'!K29+'Bunker Sales'!L29)/((AVERAGE('Bunker Sales'!K20:K31)+AVERAGE('Bunker Sales'!L20:L31))),3),1)</f>
        <v>1</v>
      </c>
      <c r="M34" s="64">
        <f>IFERROR(ROUND(('Bunker Sales'!K30+'Bunker Sales'!L30)/((AVERAGE('Bunker Sales'!K20:K31)+AVERAGE('Bunker Sales'!L20:L31))),3),1.03)</f>
        <v>1.03</v>
      </c>
      <c r="N34" s="64">
        <f>IFERROR(ROUND(('Bunker Sales'!K31+'Bunker Sales'!L31)/((AVERAGE('Bunker Sales'!K20:K31)+AVERAGE('Bunker Sales'!L20:L31))),3),1.168)</f>
        <v>1.1679999999999999</v>
      </c>
    </row>
    <row r="35" spans="1:14" ht="15" customHeight="1" x14ac:dyDescent="0.3">
      <c r="A35" s="65" t="s">
        <v>492</v>
      </c>
      <c r="B35" s="60" t="s">
        <v>493</v>
      </c>
      <c r="C35" s="66">
        <f>IFERROR(ROUND(AVERAGE('Storage onshore'!BE3,'Storage onshore'!BQ3),0),21495)</f>
        <v>22273</v>
      </c>
      <c r="D35" s="66">
        <f>IFERROR(ROUND(AVERAGE('Storage onshore'!BF3,'Storage onshore'!BR3),0),22024)</f>
        <v>21720</v>
      </c>
      <c r="E35" s="66">
        <f>IFERROR(ROUND(AVERAGE('Storage onshore'!BG3,'Storage onshore'!BS3),0),22742)</f>
        <v>21859</v>
      </c>
      <c r="F35" s="66">
        <f>IFERROR(ROUND(AVERAGE('Storage onshore'!BH3,'Storage onshore'!BT3),0),23156)</f>
        <v>23156</v>
      </c>
      <c r="G35" s="66">
        <f>IFERROR(ROUND(AVERAGE('Storage onshore'!BI3,'Storage onshore'!BU3),0),21546)</f>
        <v>21546</v>
      </c>
      <c r="H35" s="66">
        <f>IFERROR(ROUND(AVERAGE('Storage onshore'!BJ3,'Storage onshore'!BV3),0),23260)</f>
        <v>23261</v>
      </c>
      <c r="I35" s="66">
        <f>IFERROR(ROUND(AVERAGE('Storage onshore'!BK3,'Storage onshore'!BW3),0),22420)</f>
        <v>22420</v>
      </c>
      <c r="J35" s="66">
        <f>IFERROR(ROUND(AVERAGE('Storage onshore'!BL3,'Storage onshore'!BX3),0),23023)</f>
        <v>23023</v>
      </c>
      <c r="K35" s="66">
        <f>IFERROR(ROUND(AVERAGE('Storage onshore'!BM3,'Storage onshore'!BY3),0),23079)</f>
        <v>23079</v>
      </c>
      <c r="L35" s="66">
        <f>IFERROR(ROUND(AVERAGE('Storage onshore'!BN3,'Storage onshore'!BZ3),0),22604)</f>
        <v>22604</v>
      </c>
      <c r="M35" s="66">
        <f>IFERROR(ROUND(AVERAGE('Storage onshore'!BO3,'Storage onshore'!CA3),0),22592)</f>
        <v>22592</v>
      </c>
      <c r="N35" s="66">
        <f>IFERROR(ROUND('Storage onshore'!BP3,0),27860)</f>
        <v>28967</v>
      </c>
    </row>
    <row r="36" spans="1:14" ht="15" customHeight="1" x14ac:dyDescent="0.3">
      <c r="A36" s="67" t="s">
        <v>494</v>
      </c>
    </row>
  </sheetData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Sources</vt:lpstr>
      <vt:lpstr>Singapore Strait monthly import</vt:lpstr>
      <vt:lpstr>Singapore Strait exports</vt:lpstr>
      <vt:lpstr>Bunker Sales</vt:lpstr>
      <vt:lpstr>Crude Imports</vt:lpstr>
      <vt:lpstr>Production</vt:lpstr>
      <vt:lpstr>Storage onshore</vt:lpstr>
      <vt:lpstr>Floating Storage</vt:lpstr>
      <vt:lpstr>Balance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Jaffery</dc:creator>
  <dc:description/>
  <cp:lastModifiedBy>Ali Jaffery</cp:lastModifiedBy>
  <cp:revision>3</cp:revision>
  <dcterms:created xsi:type="dcterms:W3CDTF">2025-09-23T15:59:25Z</dcterms:created>
  <dcterms:modified xsi:type="dcterms:W3CDTF">2026-04-16T13:16:50Z</dcterms:modified>
  <dc:language>en-US</dc:language>
</cp:coreProperties>
</file>